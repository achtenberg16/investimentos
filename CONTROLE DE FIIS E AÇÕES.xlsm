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clara\Desktop\"/>
    </mc:Choice>
  </mc:AlternateContent>
  <xr:revisionPtr revIDLastSave="0" documentId="13_ncr:1_{41C1FC86-108F-491B-8C94-B308231F398C}" xr6:coauthVersionLast="47" xr6:coauthVersionMax="47" xr10:uidLastSave="{00000000-0000-0000-0000-000000000000}"/>
  <bookViews>
    <workbookView xWindow="-120" yWindow="-120" windowWidth="20730" windowHeight="11160" tabRatio="882" firstSheet="1" activeTab="6" xr2:uid="{00000000-000D-0000-FFFF-FFFF00000000}"/>
  </bookViews>
  <sheets>
    <sheet name="COTAÇÃO ATUAL" sheetId="25" state="hidden" r:id="rId1"/>
    <sheet name="COMPRAS" sheetId="32" r:id="rId2"/>
    <sheet name="CONSOLIDADO" sheetId="3" r:id="rId3"/>
    <sheet name="PROVENTOS B3" sheetId="45" r:id="rId4"/>
    <sheet name="TAB DIN CONSOLIDADO" sheetId="49" r:id="rId5"/>
    <sheet name="TAB DIN PROVENTOS B3" sheetId="47" r:id="rId6"/>
    <sheet name="DASHOARD" sheetId="48" r:id="rId7"/>
  </sheets>
  <definedNames>
    <definedName name="_xlnm._FilterDatabase" localSheetId="2" hidden="1">CONSOLIDADO!$A$6:$F$30</definedName>
    <definedName name="_xlnm._FilterDatabase" localSheetId="3" hidden="1">'PROVENTOS B3'!$A$1:$L$258</definedName>
    <definedName name="_xlnm.Extract" localSheetId="2">CONSOLIDADO!#REF!</definedName>
    <definedName name="_xlnm.Print_Area" localSheetId="2">CONSOLIDADO!$A$2:$D$23</definedName>
    <definedName name="_xlnm.Criteria" localSheetId="2">CONSOLIDADO!#REF!</definedName>
    <definedName name="DadosExternos_1" localSheetId="0" hidden="1">'COTAÇÃO ATUAL'!$A$1:$F$1163</definedName>
    <definedName name="SegmentaçãodeDados_ANO">#N/A</definedName>
    <definedName name="SegmentaçãodeDados_ANO2">#N/A</definedName>
    <definedName name="SegmentaçãodeDados_ATIVO">#N/A</definedName>
    <definedName name="SegmentaçãodeDados_ATIVO1">#N/A</definedName>
    <definedName name="SegmentaçãodeDados_MÊS">#N/A</definedName>
    <definedName name="SegmentaçãodeDados_TIPO">#N/A</definedName>
    <definedName name="SegmentaçãodeDados_TIPO1">#N/A</definedName>
    <definedName name="SegmentaçãodeDados_TIPO2">#N/A</definedName>
  </definedNames>
  <calcPr calcId="191029"/>
  <pivotCaches>
    <pivotCache cacheId="504" r:id="rId8"/>
    <pivotCache cacheId="509" r:id="rId9"/>
  </pivotCaches>
  <extLst>
    <ext xmlns:x14="http://schemas.microsoft.com/office/spreadsheetml/2009/9/main" uri="{BBE1A952-AA13-448e-AADC-164F8A28A991}">
      <x14:slicerCaches>
        <x14:slicerCache r:id="rId10"/>
        <x14:slicerCache r:id="rId11"/>
        <x14:slicerCache r:id="rId12"/>
        <x14:slicerCache r:id="rId13"/>
        <x14:slicerCache r:id="rId14"/>
        <x14:slicerCache r:id="rId15"/>
        <x14:slicerCache r:id="rId16"/>
        <x14:slicerCache r:id="rId17"/>
      </x14:slicerCach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76" i="45" l="1"/>
  <c r="A277" i="45"/>
  <c r="A278" i="45"/>
  <c r="A279" i="45"/>
  <c r="A280" i="45"/>
  <c r="A281" i="45"/>
  <c r="A282" i="45"/>
  <c r="A283" i="45"/>
  <c r="A284" i="45"/>
  <c r="A285" i="45"/>
  <c r="A286" i="45"/>
  <c r="A287" i="45"/>
  <c r="A288" i="45"/>
  <c r="A289" i="45"/>
  <c r="A290" i="45"/>
  <c r="A291" i="45"/>
  <c r="A292" i="45"/>
  <c r="A293" i="45"/>
  <c r="A294" i="45"/>
  <c r="C276" i="45"/>
  <c r="C277" i="45"/>
  <c r="C278" i="45"/>
  <c r="C279" i="45"/>
  <c r="C280" i="45"/>
  <c r="C281" i="45"/>
  <c r="C282" i="45"/>
  <c r="C283" i="45"/>
  <c r="C284" i="45"/>
  <c r="C285" i="45"/>
  <c r="C286" i="45"/>
  <c r="C287" i="45"/>
  <c r="C288" i="45"/>
  <c r="C289" i="45"/>
  <c r="C290" i="45"/>
  <c r="C291" i="45"/>
  <c r="C292" i="45"/>
  <c r="C293" i="45"/>
  <c r="C294" i="45"/>
  <c r="D276" i="45"/>
  <c r="D277" i="45"/>
  <c r="D278" i="45"/>
  <c r="D279" i="45"/>
  <c r="D280" i="45"/>
  <c r="D281" i="45"/>
  <c r="D282" i="45"/>
  <c r="D283" i="45"/>
  <c r="D284" i="45"/>
  <c r="D285" i="45"/>
  <c r="D286" i="45"/>
  <c r="D287" i="45"/>
  <c r="D288" i="45"/>
  <c r="D289" i="45"/>
  <c r="D290" i="45"/>
  <c r="D291" i="45"/>
  <c r="D292" i="45"/>
  <c r="D293" i="45"/>
  <c r="D294" i="45"/>
  <c r="E276" i="45"/>
  <c r="E277" i="45"/>
  <c r="E278" i="45"/>
  <c r="E279" i="45"/>
  <c r="E280" i="45"/>
  <c r="E281" i="45"/>
  <c r="E282" i="45"/>
  <c r="E283" i="45"/>
  <c r="E284" i="45"/>
  <c r="E285" i="45"/>
  <c r="E286" i="45"/>
  <c r="E287" i="45"/>
  <c r="E288" i="45"/>
  <c r="E289" i="45"/>
  <c r="E290" i="45"/>
  <c r="E291" i="45"/>
  <c r="E292" i="45"/>
  <c r="E293" i="45"/>
  <c r="E294" i="45"/>
  <c r="E30" i="3"/>
  <c r="F30" i="3"/>
  <c r="G30" i="3"/>
  <c r="A2" i="45"/>
  <c r="A3" i="45"/>
  <c r="A4" i="45"/>
  <c r="A5" i="45"/>
  <c r="A6" i="45"/>
  <c r="A7" i="45"/>
  <c r="A8" i="45"/>
  <c r="A9" i="45"/>
  <c r="A10" i="45"/>
  <c r="A11" i="45"/>
  <c r="A12" i="45"/>
  <c r="A13" i="45"/>
  <c r="A14" i="45"/>
  <c r="A15" i="45"/>
  <c r="A16" i="45"/>
  <c r="A17" i="45"/>
  <c r="A18" i="45"/>
  <c r="A19" i="45"/>
  <c r="A20" i="45"/>
  <c r="A21" i="45"/>
  <c r="A22" i="45"/>
  <c r="A23" i="45"/>
  <c r="A24" i="45"/>
  <c r="A25" i="45"/>
  <c r="A26" i="45"/>
  <c r="A27" i="45"/>
  <c r="A28" i="45"/>
  <c r="A29" i="45"/>
  <c r="A30" i="45"/>
  <c r="A31" i="45"/>
  <c r="A32" i="45"/>
  <c r="A33" i="45"/>
  <c r="A34" i="45"/>
  <c r="A35" i="45"/>
  <c r="A36" i="45"/>
  <c r="A37" i="45"/>
  <c r="A38" i="45"/>
  <c r="A39" i="45"/>
  <c r="A40" i="45"/>
  <c r="A41" i="45"/>
  <c r="A42" i="45"/>
  <c r="A43" i="45"/>
  <c r="A44" i="45"/>
  <c r="A45" i="45"/>
  <c r="A46" i="45"/>
  <c r="A47" i="45"/>
  <c r="A48" i="45"/>
  <c r="A49" i="45"/>
  <c r="A50" i="45"/>
  <c r="A51" i="45"/>
  <c r="A52" i="45"/>
  <c r="A53" i="45"/>
  <c r="A54" i="45"/>
  <c r="A55" i="45"/>
  <c r="A56" i="45"/>
  <c r="A57" i="45"/>
  <c r="A58" i="45"/>
  <c r="A59" i="45"/>
  <c r="A60" i="45"/>
  <c r="A61" i="45"/>
  <c r="A62" i="45"/>
  <c r="A63" i="45"/>
  <c r="A64" i="45"/>
  <c r="A65" i="45"/>
  <c r="A66" i="45"/>
  <c r="A67" i="45"/>
  <c r="A68" i="45"/>
  <c r="A69" i="45"/>
  <c r="A70" i="45"/>
  <c r="A71" i="45"/>
  <c r="A72" i="45"/>
  <c r="A73" i="45"/>
  <c r="A74" i="45"/>
  <c r="A75" i="45"/>
  <c r="A76" i="45"/>
  <c r="A77" i="45"/>
  <c r="A78" i="45"/>
  <c r="A79" i="45"/>
  <c r="A80" i="45"/>
  <c r="A81" i="45"/>
  <c r="A82" i="45"/>
  <c r="A83" i="45"/>
  <c r="A84" i="45"/>
  <c r="A85" i="45"/>
  <c r="A86" i="45"/>
  <c r="A87" i="45"/>
  <c r="A88" i="45"/>
  <c r="A89" i="45"/>
  <c r="A90" i="45"/>
  <c r="A91" i="45"/>
  <c r="A92" i="45"/>
  <c r="A93" i="45"/>
  <c r="A94" i="45"/>
  <c r="A95" i="45"/>
  <c r="A96" i="45"/>
  <c r="A97" i="45"/>
  <c r="A98" i="45"/>
  <c r="A99" i="45"/>
  <c r="A100" i="45"/>
  <c r="A101" i="45"/>
  <c r="A102" i="45"/>
  <c r="A103" i="45"/>
  <c r="A104" i="45"/>
  <c r="A105" i="45"/>
  <c r="A106" i="45"/>
  <c r="A107" i="45"/>
  <c r="A108" i="45"/>
  <c r="A109" i="45"/>
  <c r="A110" i="45"/>
  <c r="A111" i="45"/>
  <c r="A112" i="45"/>
  <c r="A113" i="45"/>
  <c r="A114" i="45"/>
  <c r="A115" i="45"/>
  <c r="A116" i="45"/>
  <c r="A117" i="45"/>
  <c r="A118" i="45"/>
  <c r="A119" i="45"/>
  <c r="A120" i="45"/>
  <c r="A121" i="45"/>
  <c r="A122" i="45"/>
  <c r="A123" i="45"/>
  <c r="A124" i="45"/>
  <c r="A125" i="45"/>
  <c r="A126" i="45"/>
  <c r="A127" i="45"/>
  <c r="A128" i="45"/>
  <c r="A129" i="45"/>
  <c r="A130" i="45"/>
  <c r="A131" i="45"/>
  <c r="A132" i="45"/>
  <c r="A133" i="45"/>
  <c r="A134" i="45"/>
  <c r="A135" i="45"/>
  <c r="A136" i="45"/>
  <c r="A137" i="45"/>
  <c r="A138" i="45"/>
  <c r="A139" i="45"/>
  <c r="A140" i="45"/>
  <c r="A141" i="45"/>
  <c r="A142" i="45"/>
  <c r="A143" i="45"/>
  <c r="A144" i="45"/>
  <c r="A145" i="45"/>
  <c r="A146" i="45"/>
  <c r="A147" i="45"/>
  <c r="A148" i="45"/>
  <c r="A149" i="45"/>
  <c r="A150" i="45"/>
  <c r="A151" i="45"/>
  <c r="A152" i="45"/>
  <c r="A153" i="45"/>
  <c r="A154" i="45"/>
  <c r="A155" i="45"/>
  <c r="A156" i="45"/>
  <c r="A157" i="45"/>
  <c r="A158" i="45"/>
  <c r="A159" i="45"/>
  <c r="A160" i="45"/>
  <c r="A161" i="45"/>
  <c r="A162" i="45"/>
  <c r="A163" i="45"/>
  <c r="A164" i="45"/>
  <c r="A165" i="45"/>
  <c r="A166" i="45"/>
  <c r="A167" i="45"/>
  <c r="A168" i="45"/>
  <c r="A169" i="45"/>
  <c r="A170" i="45"/>
  <c r="A171" i="45"/>
  <c r="A172" i="45"/>
  <c r="A173" i="45"/>
  <c r="A174" i="45"/>
  <c r="A175" i="45"/>
  <c r="A176" i="45"/>
  <c r="A177" i="45"/>
  <c r="A178" i="45"/>
  <c r="A179" i="45"/>
  <c r="A180" i="45"/>
  <c r="A181" i="45"/>
  <c r="A182" i="45"/>
  <c r="A183" i="45"/>
  <c r="A184" i="45"/>
  <c r="A185" i="45"/>
  <c r="A186" i="45"/>
  <c r="A187" i="45"/>
  <c r="A188" i="45"/>
  <c r="A189" i="45"/>
  <c r="A190" i="45"/>
  <c r="A191" i="45"/>
  <c r="A192" i="45"/>
  <c r="A193" i="45"/>
  <c r="A194" i="45"/>
  <c r="A195" i="45"/>
  <c r="A196" i="45"/>
  <c r="A197" i="45"/>
  <c r="A198" i="45"/>
  <c r="A199" i="45"/>
  <c r="A200" i="45"/>
  <c r="A201" i="45"/>
  <c r="A202" i="45"/>
  <c r="A203" i="45"/>
  <c r="A204" i="45"/>
  <c r="A205" i="45"/>
  <c r="A206" i="45"/>
  <c r="A207" i="45"/>
  <c r="A208" i="45"/>
  <c r="A209" i="45"/>
  <c r="A210" i="45"/>
  <c r="A211" i="45"/>
  <c r="A212" i="45"/>
  <c r="A213" i="45"/>
  <c r="A214" i="45"/>
  <c r="A215" i="45"/>
  <c r="A216" i="45"/>
  <c r="A217" i="45"/>
  <c r="A218" i="45"/>
  <c r="A219" i="45"/>
  <c r="A220" i="45"/>
  <c r="A221" i="45"/>
  <c r="A222" i="45"/>
  <c r="A223" i="45"/>
  <c r="A224" i="45"/>
  <c r="A225" i="45"/>
  <c r="A226" i="45"/>
  <c r="A227" i="45"/>
  <c r="A228" i="45"/>
  <c r="A229" i="45"/>
  <c r="A230" i="45"/>
  <c r="A231" i="45"/>
  <c r="A232" i="45"/>
  <c r="A233" i="45"/>
  <c r="A234" i="45"/>
  <c r="A235" i="45"/>
  <c r="A236" i="45"/>
  <c r="A237" i="45"/>
  <c r="A238" i="45"/>
  <c r="A239" i="45"/>
  <c r="A240" i="45"/>
  <c r="A241" i="45"/>
  <c r="A242" i="45"/>
  <c r="A243" i="45"/>
  <c r="A244" i="45"/>
  <c r="A245" i="45"/>
  <c r="A246" i="45"/>
  <c r="A247" i="45"/>
  <c r="A248" i="45"/>
  <c r="A249" i="45"/>
  <c r="A250" i="45"/>
  <c r="A251" i="45"/>
  <c r="A252" i="45"/>
  <c r="A253" i="45"/>
  <c r="A254" i="45"/>
  <c r="A255" i="45"/>
  <c r="A256" i="45"/>
  <c r="A257" i="45"/>
  <c r="A258" i="45"/>
  <c r="A259" i="45"/>
  <c r="A260" i="45"/>
  <c r="A261" i="45"/>
  <c r="A262" i="45"/>
  <c r="A263" i="45"/>
  <c r="A264" i="45"/>
  <c r="A265" i="45"/>
  <c r="A266" i="45"/>
  <c r="A267" i="45"/>
  <c r="A268" i="45"/>
  <c r="A269" i="45"/>
  <c r="A270" i="45"/>
  <c r="A271" i="45"/>
  <c r="A272" i="45"/>
  <c r="A273" i="45"/>
  <c r="A274" i="45"/>
  <c r="A275" i="45"/>
  <c r="E215" i="32"/>
  <c r="I215" i="32"/>
  <c r="J215" i="32"/>
  <c r="K215" i="32"/>
  <c r="C69" i="48"/>
  <c r="D69" i="48"/>
  <c r="E69" i="48"/>
  <c r="F69" i="48"/>
  <c r="I69" i="48"/>
  <c r="J69" i="48"/>
  <c r="K69" i="48"/>
  <c r="L69" i="48"/>
  <c r="C70" i="48"/>
  <c r="D70" i="48"/>
  <c r="E70" i="48"/>
  <c r="F70" i="48"/>
  <c r="I70" i="48"/>
  <c r="J70" i="48"/>
  <c r="K70" i="48"/>
  <c r="L70" i="48"/>
  <c r="C71" i="48"/>
  <c r="D71" i="48"/>
  <c r="E71" i="48"/>
  <c r="F71" i="48"/>
  <c r="I71" i="48"/>
  <c r="J71" i="48"/>
  <c r="K71" i="48"/>
  <c r="L71" i="48"/>
  <c r="C72" i="48"/>
  <c r="D72" i="48"/>
  <c r="E72" i="48"/>
  <c r="F72" i="48"/>
  <c r="I72" i="48"/>
  <c r="J72" i="48"/>
  <c r="K72" i="48"/>
  <c r="L72" i="48"/>
  <c r="C73" i="48"/>
  <c r="D73" i="48"/>
  <c r="E73" i="48"/>
  <c r="F73" i="48"/>
  <c r="I73" i="48"/>
  <c r="J73" i="48"/>
  <c r="K73" i="48"/>
  <c r="L73" i="48"/>
  <c r="B4" i="47"/>
  <c r="I30" i="3" l="1"/>
  <c r="H30" i="3"/>
  <c r="J30" i="3"/>
  <c r="L30" i="3" s="1"/>
  <c r="E241" i="45"/>
  <c r="E273" i="45"/>
  <c r="E269" i="45"/>
  <c r="E265" i="45"/>
  <c r="E261" i="45"/>
  <c r="E257" i="45"/>
  <c r="E253" i="45"/>
  <c r="E249" i="45"/>
  <c r="E245" i="45"/>
  <c r="E173" i="45"/>
  <c r="E175" i="45"/>
  <c r="E177" i="45"/>
  <c r="E179" i="45"/>
  <c r="E181" i="45"/>
  <c r="E183" i="45"/>
  <c r="E185" i="45"/>
  <c r="E187" i="45"/>
  <c r="E189" i="45"/>
  <c r="E191" i="45"/>
  <c r="E193" i="45"/>
  <c r="E195" i="45"/>
  <c r="E197" i="45"/>
  <c r="E199" i="45"/>
  <c r="E201" i="45"/>
  <c r="E203" i="45"/>
  <c r="E205" i="45"/>
  <c r="E207" i="45"/>
  <c r="E209" i="45"/>
  <c r="E211" i="45"/>
  <c r="E213" i="45"/>
  <c r="E215" i="45"/>
  <c r="E217" i="45"/>
  <c r="E219" i="45"/>
  <c r="E221" i="45"/>
  <c r="E223" i="45"/>
  <c r="E225" i="45"/>
  <c r="E227" i="45"/>
  <c r="E229" i="45"/>
  <c r="E231" i="45"/>
  <c r="E233" i="45"/>
  <c r="E235" i="45"/>
  <c r="E237" i="45"/>
  <c r="E275" i="45"/>
  <c r="E271" i="45"/>
  <c r="E267" i="45"/>
  <c r="E263" i="45"/>
  <c r="E259" i="45"/>
  <c r="E255" i="45"/>
  <c r="E251" i="45"/>
  <c r="E247" i="45"/>
  <c r="E243" i="45"/>
  <c r="E239" i="45"/>
  <c r="E2" i="45"/>
  <c r="E4" i="45"/>
  <c r="E6" i="45"/>
  <c r="E8" i="45"/>
  <c r="E10" i="45"/>
  <c r="E12" i="45"/>
  <c r="E14" i="45"/>
  <c r="E16" i="45"/>
  <c r="E18" i="45"/>
  <c r="E20" i="45"/>
  <c r="E22" i="45"/>
  <c r="E24" i="45"/>
  <c r="E26" i="45"/>
  <c r="E28" i="45"/>
  <c r="E30" i="45"/>
  <c r="E32" i="45"/>
  <c r="E34" i="45"/>
  <c r="E36" i="45"/>
  <c r="E38" i="45"/>
  <c r="E40" i="45"/>
  <c r="E42" i="45"/>
  <c r="E44" i="45"/>
  <c r="E46" i="45"/>
  <c r="E48" i="45"/>
  <c r="E50" i="45"/>
  <c r="E52" i="45"/>
  <c r="E54" i="45"/>
  <c r="E56" i="45"/>
  <c r="E58" i="45"/>
  <c r="E60" i="45"/>
  <c r="E62" i="45"/>
  <c r="E64" i="45"/>
  <c r="E66" i="45"/>
  <c r="E68" i="45"/>
  <c r="E70" i="45"/>
  <c r="E72" i="45"/>
  <c r="E74" i="45"/>
  <c r="E76" i="45"/>
  <c r="E78" i="45"/>
  <c r="E80" i="45"/>
  <c r="E82" i="45"/>
  <c r="E84" i="45"/>
  <c r="E86" i="45"/>
  <c r="E88" i="45"/>
  <c r="E90" i="45"/>
  <c r="E92" i="45"/>
  <c r="E94" i="45"/>
  <c r="E96" i="45"/>
  <c r="E98" i="45"/>
  <c r="E100" i="45"/>
  <c r="E102" i="45"/>
  <c r="E104" i="45"/>
  <c r="E106" i="45"/>
  <c r="E108" i="45"/>
  <c r="E110" i="45"/>
  <c r="E112" i="45"/>
  <c r="E114" i="45"/>
  <c r="E116" i="45"/>
  <c r="E118" i="45"/>
  <c r="E120" i="45"/>
  <c r="E122" i="45"/>
  <c r="E124" i="45"/>
  <c r="E126" i="45"/>
  <c r="E128" i="45"/>
  <c r="E130" i="45"/>
  <c r="E132" i="45"/>
  <c r="E134" i="45"/>
  <c r="E136" i="45"/>
  <c r="E138" i="45"/>
  <c r="E140" i="45"/>
  <c r="E142" i="45"/>
  <c r="E144" i="45"/>
  <c r="E146" i="45"/>
  <c r="E148" i="45"/>
  <c r="E150" i="45"/>
  <c r="E152" i="45"/>
  <c r="E154" i="45"/>
  <c r="E156" i="45"/>
  <c r="E158" i="45"/>
  <c r="E160" i="45"/>
  <c r="E162" i="45"/>
  <c r="E164" i="45"/>
  <c r="E166" i="45"/>
  <c r="E168" i="45"/>
  <c r="E170" i="45"/>
  <c r="E3" i="45"/>
  <c r="E5" i="45"/>
  <c r="E7" i="45"/>
  <c r="E9" i="45"/>
  <c r="E11" i="45"/>
  <c r="E13" i="45"/>
  <c r="E15" i="45"/>
  <c r="E17" i="45"/>
  <c r="E19" i="45"/>
  <c r="E21" i="45"/>
  <c r="E23" i="45"/>
  <c r="E25" i="45"/>
  <c r="E27" i="45"/>
  <c r="E29" i="45"/>
  <c r="E31" i="45"/>
  <c r="E33" i="45"/>
  <c r="E35" i="45"/>
  <c r="E37" i="45"/>
  <c r="E39" i="45"/>
  <c r="E41" i="45"/>
  <c r="E43" i="45"/>
  <c r="E45" i="45"/>
  <c r="E47" i="45"/>
  <c r="E49" i="45"/>
  <c r="E51" i="45"/>
  <c r="E53" i="45"/>
  <c r="E55" i="45"/>
  <c r="E57" i="45"/>
  <c r="E59" i="45"/>
  <c r="E61" i="45"/>
  <c r="E63" i="45"/>
  <c r="E65" i="45"/>
  <c r="E67" i="45"/>
  <c r="E69" i="45"/>
  <c r="E71" i="45"/>
  <c r="E73" i="45"/>
  <c r="E75" i="45"/>
  <c r="E77" i="45"/>
  <c r="E79" i="45"/>
  <c r="E81" i="45"/>
  <c r="E83" i="45"/>
  <c r="E85" i="45"/>
  <c r="E87" i="45"/>
  <c r="E89" i="45"/>
  <c r="E91" i="45"/>
  <c r="E93" i="45"/>
  <c r="E95" i="45"/>
  <c r="E97" i="45"/>
  <c r="E99" i="45"/>
  <c r="E101" i="45"/>
  <c r="E103" i="45"/>
  <c r="E105" i="45"/>
  <c r="E107" i="45"/>
  <c r="E109" i="45"/>
  <c r="E111" i="45"/>
  <c r="E113" i="45"/>
  <c r="E115" i="45"/>
  <c r="E117" i="45"/>
  <c r="E119" i="45"/>
  <c r="E121" i="45"/>
  <c r="E123" i="45"/>
  <c r="E125" i="45"/>
  <c r="E127" i="45"/>
  <c r="E129" i="45"/>
  <c r="E131" i="45"/>
  <c r="E133" i="45"/>
  <c r="E135" i="45"/>
  <c r="E137" i="45"/>
  <c r="E139" i="45"/>
  <c r="E141" i="45"/>
  <c r="E143" i="45"/>
  <c r="E145" i="45"/>
  <c r="E147" i="45"/>
  <c r="E149" i="45"/>
  <c r="E151" i="45"/>
  <c r="E153" i="45"/>
  <c r="E155" i="45"/>
  <c r="E157" i="45"/>
  <c r="E159" i="45"/>
  <c r="E161" i="45"/>
  <c r="E163" i="45"/>
  <c r="E165" i="45"/>
  <c r="E167" i="45"/>
  <c r="E169" i="45"/>
  <c r="E171" i="45"/>
  <c r="E274" i="45"/>
  <c r="E272" i="45"/>
  <c r="E270" i="45"/>
  <c r="E268" i="45"/>
  <c r="E266" i="45"/>
  <c r="E264" i="45"/>
  <c r="E262" i="45"/>
  <c r="E260" i="45"/>
  <c r="E258" i="45"/>
  <c r="E256" i="45"/>
  <c r="E254" i="45"/>
  <c r="E252" i="45"/>
  <c r="E250" i="45"/>
  <c r="E248" i="45"/>
  <c r="E246" i="45"/>
  <c r="E244" i="45"/>
  <c r="E242" i="45"/>
  <c r="E240" i="45"/>
  <c r="E238" i="45"/>
  <c r="E236" i="45"/>
  <c r="E234" i="45"/>
  <c r="E232" i="45"/>
  <c r="E230" i="45"/>
  <c r="E228" i="45"/>
  <c r="E226" i="45"/>
  <c r="E224" i="45"/>
  <c r="E222" i="45"/>
  <c r="E220" i="45"/>
  <c r="E218" i="45"/>
  <c r="E216" i="45"/>
  <c r="E214" i="45"/>
  <c r="E212" i="45"/>
  <c r="E210" i="45"/>
  <c r="E208" i="45"/>
  <c r="E206" i="45"/>
  <c r="E204" i="45"/>
  <c r="E202" i="45"/>
  <c r="E200" i="45"/>
  <c r="E198" i="45"/>
  <c r="E196" i="45"/>
  <c r="E194" i="45"/>
  <c r="E192" i="45"/>
  <c r="E190" i="45"/>
  <c r="E188" i="45"/>
  <c r="E186" i="45"/>
  <c r="E184" i="45"/>
  <c r="E182" i="45"/>
  <c r="E180" i="45"/>
  <c r="E178" i="45"/>
  <c r="E176" i="45"/>
  <c r="E174" i="45"/>
  <c r="E172" i="45"/>
  <c r="V112" i="48"/>
  <c r="K74" i="48"/>
  <c r="L74" i="48"/>
  <c r="K75" i="48"/>
  <c r="L75" i="48"/>
  <c r="J74" i="48"/>
  <c r="J75" i="48"/>
  <c r="I74" i="48"/>
  <c r="I75" i="48"/>
  <c r="F74" i="48"/>
  <c r="F75" i="48"/>
  <c r="F76" i="48"/>
  <c r="F77" i="48"/>
  <c r="F78" i="48"/>
  <c r="F79" i="48"/>
  <c r="F80" i="48"/>
  <c r="F81" i="48"/>
  <c r="F82" i="48"/>
  <c r="F83" i="48"/>
  <c r="F84" i="48"/>
  <c r="F85" i="48"/>
  <c r="D74" i="48"/>
  <c r="E74" i="48"/>
  <c r="D75" i="48"/>
  <c r="E75" i="48"/>
  <c r="D76" i="48"/>
  <c r="E76" i="48"/>
  <c r="D77" i="48"/>
  <c r="E77" i="48"/>
  <c r="D78" i="48"/>
  <c r="E78" i="48"/>
  <c r="D79" i="48"/>
  <c r="E79" i="48"/>
  <c r="D80" i="48"/>
  <c r="E80" i="48"/>
  <c r="D81" i="48"/>
  <c r="E81" i="48"/>
  <c r="D82" i="48"/>
  <c r="E82" i="48"/>
  <c r="D83" i="48"/>
  <c r="E83" i="48"/>
  <c r="D84" i="48"/>
  <c r="E84" i="48"/>
  <c r="D85" i="48"/>
  <c r="E85" i="48"/>
  <c r="C84" i="48"/>
  <c r="C85" i="48"/>
  <c r="C77" i="48"/>
  <c r="C78" i="48"/>
  <c r="C79" i="48"/>
  <c r="C80" i="48"/>
  <c r="C81" i="48"/>
  <c r="C82" i="48"/>
  <c r="C83" i="48"/>
  <c r="C74" i="48"/>
  <c r="C75" i="48"/>
  <c r="C76" i="48"/>
  <c r="F23" i="3"/>
  <c r="C265" i="45"/>
  <c r="C259" i="45"/>
  <c r="D259" i="45"/>
  <c r="C260" i="45"/>
  <c r="D260" i="45"/>
  <c r="C261" i="45"/>
  <c r="D261" i="45"/>
  <c r="C262" i="45"/>
  <c r="D262" i="45"/>
  <c r="C263" i="45"/>
  <c r="D263" i="45"/>
  <c r="C264" i="45"/>
  <c r="D264" i="45"/>
  <c r="D265" i="45"/>
  <c r="C266" i="45"/>
  <c r="D266" i="45"/>
  <c r="C267" i="45"/>
  <c r="D267" i="45"/>
  <c r="C268" i="45"/>
  <c r="D268" i="45"/>
  <c r="C269" i="45"/>
  <c r="D269" i="45"/>
  <c r="C270" i="45"/>
  <c r="D270" i="45"/>
  <c r="C271" i="45"/>
  <c r="D271" i="45"/>
  <c r="C272" i="45"/>
  <c r="D272" i="45"/>
  <c r="C273" i="45"/>
  <c r="D273" i="45"/>
  <c r="C274" i="45"/>
  <c r="D274" i="45"/>
  <c r="C275" i="45"/>
  <c r="D275" i="45"/>
  <c r="E214" i="32"/>
  <c r="I214" i="32"/>
  <c r="J214" i="32"/>
  <c r="K214" i="32"/>
  <c r="E213" i="32"/>
  <c r="I213" i="32"/>
  <c r="J213" i="32"/>
  <c r="K213" i="32"/>
  <c r="E212" i="32"/>
  <c r="I212" i="32"/>
  <c r="J212" i="32"/>
  <c r="K212" i="32"/>
  <c r="G4" i="47"/>
  <c r="C4" i="49"/>
  <c r="C5" i="49"/>
  <c r="K30" i="3" l="1"/>
  <c r="D3" i="45"/>
  <c r="D4" i="45"/>
  <c r="D5" i="45"/>
  <c r="D6" i="45"/>
  <c r="D7" i="45"/>
  <c r="D8" i="45"/>
  <c r="D9" i="45"/>
  <c r="D10" i="45"/>
  <c r="D11" i="45"/>
  <c r="D12" i="45"/>
  <c r="D13" i="45"/>
  <c r="D14" i="45"/>
  <c r="D15" i="45"/>
  <c r="D16" i="45"/>
  <c r="D17" i="45"/>
  <c r="D18" i="45"/>
  <c r="D19" i="45"/>
  <c r="D20" i="45"/>
  <c r="D21" i="45"/>
  <c r="D22" i="45"/>
  <c r="D23" i="45"/>
  <c r="D24" i="45"/>
  <c r="D25" i="45"/>
  <c r="D26" i="45"/>
  <c r="D27" i="45"/>
  <c r="D28" i="45"/>
  <c r="D29" i="45"/>
  <c r="D30" i="45"/>
  <c r="D31" i="45"/>
  <c r="D32" i="45"/>
  <c r="D33" i="45"/>
  <c r="D34" i="45"/>
  <c r="D35" i="45"/>
  <c r="D36" i="45"/>
  <c r="D37" i="45"/>
  <c r="D38" i="45"/>
  <c r="D39" i="45"/>
  <c r="D40" i="45"/>
  <c r="D41" i="45"/>
  <c r="D42" i="45"/>
  <c r="D43" i="45"/>
  <c r="D44" i="45"/>
  <c r="D45" i="45"/>
  <c r="D46" i="45"/>
  <c r="D47" i="45"/>
  <c r="D48" i="45"/>
  <c r="D49" i="45"/>
  <c r="D50" i="45"/>
  <c r="D51" i="45"/>
  <c r="D52" i="45"/>
  <c r="D53" i="45"/>
  <c r="D54" i="45"/>
  <c r="D55" i="45"/>
  <c r="D56" i="45"/>
  <c r="D57" i="45"/>
  <c r="D58" i="45"/>
  <c r="D59" i="45"/>
  <c r="D60" i="45"/>
  <c r="D61" i="45"/>
  <c r="D62" i="45"/>
  <c r="D63" i="45"/>
  <c r="D64" i="45"/>
  <c r="D65" i="45"/>
  <c r="D66" i="45"/>
  <c r="D67" i="45"/>
  <c r="D68" i="45"/>
  <c r="D69" i="45"/>
  <c r="D70" i="45"/>
  <c r="D71" i="45"/>
  <c r="D72" i="45"/>
  <c r="D73" i="45"/>
  <c r="D74" i="45"/>
  <c r="D75" i="45"/>
  <c r="D76" i="45"/>
  <c r="D77" i="45"/>
  <c r="D78" i="45"/>
  <c r="D79" i="45"/>
  <c r="D80" i="45"/>
  <c r="D81" i="45"/>
  <c r="D82" i="45"/>
  <c r="D83" i="45"/>
  <c r="D84" i="45"/>
  <c r="D85" i="45"/>
  <c r="D86" i="45"/>
  <c r="D87" i="45"/>
  <c r="D88" i="45"/>
  <c r="D89" i="45"/>
  <c r="D90" i="45"/>
  <c r="D91" i="45"/>
  <c r="D92" i="45"/>
  <c r="D93" i="45"/>
  <c r="D94" i="45"/>
  <c r="D95" i="45"/>
  <c r="D96" i="45"/>
  <c r="D97" i="45"/>
  <c r="D98" i="45"/>
  <c r="D99" i="45"/>
  <c r="D100" i="45"/>
  <c r="D101" i="45"/>
  <c r="D102" i="45"/>
  <c r="D103" i="45"/>
  <c r="D104" i="45"/>
  <c r="D105" i="45"/>
  <c r="D106" i="45"/>
  <c r="D107" i="45"/>
  <c r="D108" i="45"/>
  <c r="D109" i="45"/>
  <c r="D110" i="45"/>
  <c r="D111" i="45"/>
  <c r="D112" i="45"/>
  <c r="D113" i="45"/>
  <c r="D114" i="45"/>
  <c r="D115" i="45"/>
  <c r="D116" i="45"/>
  <c r="D117" i="45"/>
  <c r="D118" i="45"/>
  <c r="D119" i="45"/>
  <c r="D120" i="45"/>
  <c r="D121" i="45"/>
  <c r="D122" i="45"/>
  <c r="D123" i="45"/>
  <c r="D124" i="45"/>
  <c r="D125" i="45"/>
  <c r="D126" i="45"/>
  <c r="D127" i="45"/>
  <c r="D128" i="45"/>
  <c r="D129" i="45"/>
  <c r="D130" i="45"/>
  <c r="D131" i="45"/>
  <c r="D132" i="45"/>
  <c r="D133" i="45"/>
  <c r="D134" i="45"/>
  <c r="D135" i="45"/>
  <c r="D136" i="45"/>
  <c r="D137" i="45"/>
  <c r="D138" i="45"/>
  <c r="D139" i="45"/>
  <c r="D140" i="45"/>
  <c r="D141" i="45"/>
  <c r="D142" i="45"/>
  <c r="D143" i="45"/>
  <c r="D144" i="45"/>
  <c r="D145" i="45"/>
  <c r="D146" i="45"/>
  <c r="D147" i="45"/>
  <c r="D148" i="45"/>
  <c r="D149" i="45"/>
  <c r="D150" i="45"/>
  <c r="D151" i="45"/>
  <c r="D152" i="45"/>
  <c r="D153" i="45"/>
  <c r="D154" i="45"/>
  <c r="D155" i="45"/>
  <c r="D156" i="45"/>
  <c r="D157" i="45"/>
  <c r="D158" i="45"/>
  <c r="D159" i="45"/>
  <c r="D160" i="45"/>
  <c r="D161" i="45"/>
  <c r="D162" i="45"/>
  <c r="D163" i="45"/>
  <c r="D164" i="45"/>
  <c r="D165" i="45"/>
  <c r="D166" i="45"/>
  <c r="D167" i="45"/>
  <c r="D168" i="45"/>
  <c r="D169" i="45"/>
  <c r="D170" i="45"/>
  <c r="D171" i="45"/>
  <c r="D172" i="45"/>
  <c r="D173" i="45"/>
  <c r="D174" i="45"/>
  <c r="D175" i="45"/>
  <c r="D176" i="45"/>
  <c r="D177" i="45"/>
  <c r="D178" i="45"/>
  <c r="D179" i="45"/>
  <c r="D180" i="45"/>
  <c r="D181" i="45"/>
  <c r="D182" i="45"/>
  <c r="D183" i="45"/>
  <c r="D184" i="45"/>
  <c r="D185" i="45"/>
  <c r="D186" i="45"/>
  <c r="D187" i="45"/>
  <c r="D188" i="45"/>
  <c r="D189" i="45"/>
  <c r="D190" i="45"/>
  <c r="D191" i="45"/>
  <c r="D192" i="45"/>
  <c r="D193" i="45"/>
  <c r="D194" i="45"/>
  <c r="D195" i="45"/>
  <c r="D196" i="45"/>
  <c r="D197" i="45"/>
  <c r="D198" i="45"/>
  <c r="D199" i="45"/>
  <c r="D200" i="45"/>
  <c r="D201" i="45"/>
  <c r="D202" i="45"/>
  <c r="D203" i="45"/>
  <c r="D204" i="45"/>
  <c r="D205" i="45"/>
  <c r="D206" i="45"/>
  <c r="D207" i="45"/>
  <c r="D208" i="45"/>
  <c r="D209" i="45"/>
  <c r="D210" i="45"/>
  <c r="D211" i="45"/>
  <c r="D212" i="45"/>
  <c r="D213" i="45"/>
  <c r="D214" i="45"/>
  <c r="D215" i="45"/>
  <c r="D216" i="45"/>
  <c r="D217" i="45"/>
  <c r="D218" i="45"/>
  <c r="D219" i="45"/>
  <c r="D220" i="45"/>
  <c r="D221" i="45"/>
  <c r="D222" i="45"/>
  <c r="D223" i="45"/>
  <c r="D224" i="45"/>
  <c r="D225" i="45"/>
  <c r="D226" i="45"/>
  <c r="D227" i="45"/>
  <c r="D228" i="45"/>
  <c r="D229" i="45"/>
  <c r="D230" i="45"/>
  <c r="D231" i="45"/>
  <c r="D232" i="45"/>
  <c r="D233" i="45"/>
  <c r="D234" i="45"/>
  <c r="D235" i="45"/>
  <c r="D236" i="45"/>
  <c r="D237" i="45"/>
  <c r="D238" i="45"/>
  <c r="D239" i="45"/>
  <c r="D240" i="45"/>
  <c r="D241" i="45"/>
  <c r="D242" i="45"/>
  <c r="D243" i="45"/>
  <c r="D244" i="45"/>
  <c r="D245" i="45"/>
  <c r="D246" i="45"/>
  <c r="D247" i="45"/>
  <c r="D248" i="45"/>
  <c r="D249" i="45"/>
  <c r="D250" i="45"/>
  <c r="D251" i="45"/>
  <c r="D252" i="45"/>
  <c r="D253" i="45"/>
  <c r="D254" i="45"/>
  <c r="D255" i="45"/>
  <c r="D256" i="45"/>
  <c r="D257" i="45"/>
  <c r="D258" i="45"/>
  <c r="D2" i="45"/>
  <c r="C3" i="45"/>
  <c r="C4" i="45"/>
  <c r="C5" i="45"/>
  <c r="C6" i="45"/>
  <c r="C7" i="45"/>
  <c r="C8" i="45"/>
  <c r="C9" i="45"/>
  <c r="C10" i="45"/>
  <c r="C11" i="45"/>
  <c r="C12" i="45"/>
  <c r="C13" i="45"/>
  <c r="C14" i="45"/>
  <c r="C15" i="45"/>
  <c r="C16" i="45"/>
  <c r="C17" i="45"/>
  <c r="C18" i="45"/>
  <c r="C19" i="45"/>
  <c r="C20" i="45"/>
  <c r="C21" i="45"/>
  <c r="C22" i="45"/>
  <c r="C23" i="45"/>
  <c r="C24" i="45"/>
  <c r="C25" i="45"/>
  <c r="C26" i="45"/>
  <c r="C27" i="45"/>
  <c r="C28" i="45"/>
  <c r="C29" i="45"/>
  <c r="C30" i="45"/>
  <c r="C31" i="45"/>
  <c r="C32" i="45"/>
  <c r="C33" i="45"/>
  <c r="C34" i="45"/>
  <c r="C35" i="45"/>
  <c r="C36" i="45"/>
  <c r="C37" i="45"/>
  <c r="C38" i="45"/>
  <c r="C39" i="45"/>
  <c r="C40" i="45"/>
  <c r="C41" i="45"/>
  <c r="C42" i="45"/>
  <c r="C43" i="45"/>
  <c r="C44" i="45"/>
  <c r="C45" i="45"/>
  <c r="C46" i="45"/>
  <c r="C47" i="45"/>
  <c r="C48" i="45"/>
  <c r="C49" i="45"/>
  <c r="C50" i="45"/>
  <c r="C51" i="45"/>
  <c r="C52" i="45"/>
  <c r="C53" i="45"/>
  <c r="C54" i="45"/>
  <c r="C55" i="45"/>
  <c r="C56" i="45"/>
  <c r="C57" i="45"/>
  <c r="C58" i="45"/>
  <c r="C59" i="45"/>
  <c r="C60" i="45"/>
  <c r="C61" i="45"/>
  <c r="C62" i="45"/>
  <c r="C63" i="45"/>
  <c r="C64" i="45"/>
  <c r="C65" i="45"/>
  <c r="C66" i="45"/>
  <c r="C67" i="45"/>
  <c r="C68" i="45"/>
  <c r="C69" i="45"/>
  <c r="C70" i="45"/>
  <c r="C71" i="45"/>
  <c r="C72" i="45"/>
  <c r="C73" i="45"/>
  <c r="C74" i="45"/>
  <c r="C75" i="45"/>
  <c r="C76" i="45"/>
  <c r="C77" i="45"/>
  <c r="C78" i="45"/>
  <c r="C79" i="45"/>
  <c r="C80" i="45"/>
  <c r="C81" i="45"/>
  <c r="C82" i="45"/>
  <c r="C83" i="45"/>
  <c r="C84" i="45"/>
  <c r="C85" i="45"/>
  <c r="C86" i="45"/>
  <c r="C87" i="45"/>
  <c r="C88" i="45"/>
  <c r="C89" i="45"/>
  <c r="C90" i="45"/>
  <c r="C91" i="45"/>
  <c r="C92" i="45"/>
  <c r="C93" i="45"/>
  <c r="C94" i="45"/>
  <c r="C95" i="45"/>
  <c r="C96" i="45"/>
  <c r="C97" i="45"/>
  <c r="C98" i="45"/>
  <c r="C99" i="45"/>
  <c r="C100" i="45"/>
  <c r="C101" i="45"/>
  <c r="C102" i="45"/>
  <c r="C103" i="45"/>
  <c r="C104" i="45"/>
  <c r="C105" i="45"/>
  <c r="C106" i="45"/>
  <c r="C107" i="45"/>
  <c r="C108" i="45"/>
  <c r="C109" i="45"/>
  <c r="C110" i="45"/>
  <c r="C111" i="45"/>
  <c r="C112" i="45"/>
  <c r="C113" i="45"/>
  <c r="C114" i="45"/>
  <c r="C115" i="45"/>
  <c r="C116" i="45"/>
  <c r="C117" i="45"/>
  <c r="C118" i="45"/>
  <c r="C119" i="45"/>
  <c r="C120" i="45"/>
  <c r="C121" i="45"/>
  <c r="C122" i="45"/>
  <c r="C123" i="45"/>
  <c r="C124" i="45"/>
  <c r="C125" i="45"/>
  <c r="C126" i="45"/>
  <c r="C127" i="45"/>
  <c r="C128" i="45"/>
  <c r="C129" i="45"/>
  <c r="C130" i="45"/>
  <c r="C131" i="45"/>
  <c r="C132" i="45"/>
  <c r="C133" i="45"/>
  <c r="C134" i="45"/>
  <c r="C135" i="45"/>
  <c r="C136" i="45"/>
  <c r="C137" i="45"/>
  <c r="C138" i="45"/>
  <c r="C139" i="45"/>
  <c r="C140" i="45"/>
  <c r="C141" i="45"/>
  <c r="C142" i="45"/>
  <c r="C143" i="45"/>
  <c r="C144" i="45"/>
  <c r="C145" i="45"/>
  <c r="C146" i="45"/>
  <c r="C147" i="45"/>
  <c r="C148" i="45"/>
  <c r="C149" i="45"/>
  <c r="C150" i="45"/>
  <c r="C151" i="45"/>
  <c r="C152" i="45"/>
  <c r="C153" i="45"/>
  <c r="C154" i="45"/>
  <c r="C155" i="45"/>
  <c r="C156" i="45"/>
  <c r="C157" i="45"/>
  <c r="C158" i="45"/>
  <c r="C159" i="45"/>
  <c r="C160" i="45"/>
  <c r="C161" i="45"/>
  <c r="C162" i="45"/>
  <c r="C163" i="45"/>
  <c r="C164" i="45"/>
  <c r="C165" i="45"/>
  <c r="C166" i="45"/>
  <c r="C167" i="45"/>
  <c r="C168" i="45"/>
  <c r="C169" i="45"/>
  <c r="C170" i="45"/>
  <c r="C171" i="45"/>
  <c r="C172" i="45"/>
  <c r="C173" i="45"/>
  <c r="C174" i="45"/>
  <c r="C175" i="45"/>
  <c r="C176" i="45"/>
  <c r="C177" i="45"/>
  <c r="C178" i="45"/>
  <c r="C179" i="45"/>
  <c r="C180" i="45"/>
  <c r="C181" i="45"/>
  <c r="C182" i="45"/>
  <c r="C183" i="45"/>
  <c r="C184" i="45"/>
  <c r="C185" i="45"/>
  <c r="C186" i="45"/>
  <c r="C187" i="45"/>
  <c r="C188" i="45"/>
  <c r="C189" i="45"/>
  <c r="C190" i="45"/>
  <c r="C191" i="45"/>
  <c r="C192" i="45"/>
  <c r="C193" i="45"/>
  <c r="C194" i="45"/>
  <c r="C195" i="45"/>
  <c r="C196" i="45"/>
  <c r="C197" i="45"/>
  <c r="C198" i="45"/>
  <c r="C199" i="45"/>
  <c r="C200" i="45"/>
  <c r="C201" i="45"/>
  <c r="C202" i="45"/>
  <c r="C203" i="45"/>
  <c r="C204" i="45"/>
  <c r="C205" i="45"/>
  <c r="C206" i="45"/>
  <c r="C207" i="45"/>
  <c r="C208" i="45"/>
  <c r="C209" i="45"/>
  <c r="C210" i="45"/>
  <c r="C211" i="45"/>
  <c r="C212" i="45"/>
  <c r="C213" i="45"/>
  <c r="C214" i="45"/>
  <c r="C215" i="45"/>
  <c r="C216" i="45"/>
  <c r="C217" i="45"/>
  <c r="C218" i="45"/>
  <c r="C219" i="45"/>
  <c r="C220" i="45"/>
  <c r="C221" i="45"/>
  <c r="C222" i="45"/>
  <c r="C223" i="45"/>
  <c r="C224" i="45"/>
  <c r="C225" i="45"/>
  <c r="C226" i="45"/>
  <c r="C227" i="45"/>
  <c r="C228" i="45"/>
  <c r="C229" i="45"/>
  <c r="C230" i="45"/>
  <c r="C231" i="45"/>
  <c r="C232" i="45"/>
  <c r="C233" i="45"/>
  <c r="C234" i="45"/>
  <c r="C235" i="45"/>
  <c r="C236" i="45"/>
  <c r="C237" i="45"/>
  <c r="C238" i="45"/>
  <c r="C239" i="45"/>
  <c r="C240" i="45"/>
  <c r="C241" i="45"/>
  <c r="C242" i="45"/>
  <c r="C243" i="45"/>
  <c r="C244" i="45"/>
  <c r="C245" i="45"/>
  <c r="C246" i="45"/>
  <c r="C247" i="45"/>
  <c r="C248" i="45"/>
  <c r="C249" i="45"/>
  <c r="C250" i="45"/>
  <c r="C251" i="45"/>
  <c r="C252" i="45"/>
  <c r="C253" i="45"/>
  <c r="C254" i="45"/>
  <c r="C255" i="45"/>
  <c r="C256" i="45"/>
  <c r="C257" i="45"/>
  <c r="C258" i="45"/>
  <c r="C2" i="45"/>
  <c r="E211" i="32"/>
  <c r="I211" i="32"/>
  <c r="J211" i="32"/>
  <c r="K211" i="32"/>
  <c r="E206" i="32"/>
  <c r="E207" i="32"/>
  <c r="E208" i="32"/>
  <c r="E209" i="32"/>
  <c r="E210" i="32"/>
  <c r="I206" i="32"/>
  <c r="I207" i="32"/>
  <c r="I208" i="32"/>
  <c r="I209" i="32"/>
  <c r="I210" i="32"/>
  <c r="J206" i="32"/>
  <c r="J207" i="32"/>
  <c r="J208" i="32"/>
  <c r="J209" i="32"/>
  <c r="J210" i="32"/>
  <c r="K206" i="32"/>
  <c r="K207" i="32"/>
  <c r="K208" i="32"/>
  <c r="K209" i="32"/>
  <c r="K210" i="32"/>
  <c r="F24" i="3" l="1"/>
  <c r="F27" i="3"/>
  <c r="F28" i="3"/>
  <c r="F26" i="3"/>
  <c r="F29" i="3"/>
  <c r="F25" i="3"/>
  <c r="E167" i="32"/>
  <c r="C27" i="3" s="1"/>
  <c r="E168" i="32"/>
  <c r="C24" i="3" s="1"/>
  <c r="E169" i="32"/>
  <c r="C28" i="3" s="1"/>
  <c r="E170" i="32"/>
  <c r="C26" i="3" s="1"/>
  <c r="E171" i="32"/>
  <c r="E172" i="32"/>
  <c r="E173" i="32"/>
  <c r="E174" i="32"/>
  <c r="E175" i="32"/>
  <c r="C29" i="3" s="1"/>
  <c r="E176" i="32"/>
  <c r="C30" i="3" s="1"/>
  <c r="N30" i="3" s="1"/>
  <c r="B194" i="48" s="1"/>
  <c r="E177" i="32"/>
  <c r="E178" i="32"/>
  <c r="E179" i="32"/>
  <c r="E180" i="32"/>
  <c r="E181" i="32"/>
  <c r="E182" i="32"/>
  <c r="C25" i="3" s="1"/>
  <c r="E183" i="32"/>
  <c r="E184" i="32"/>
  <c r="E185" i="32"/>
  <c r="E186" i="32"/>
  <c r="E187" i="32"/>
  <c r="E188" i="32"/>
  <c r="E189" i="32"/>
  <c r="E190" i="32"/>
  <c r="E191" i="32"/>
  <c r="E192" i="32"/>
  <c r="E193" i="32"/>
  <c r="E194" i="32"/>
  <c r="E195" i="32"/>
  <c r="E196" i="32"/>
  <c r="E197" i="32"/>
  <c r="E198" i="32"/>
  <c r="E199" i="32"/>
  <c r="E200" i="32"/>
  <c r="E201" i="32"/>
  <c r="E202" i="32"/>
  <c r="E203" i="32"/>
  <c r="E204" i="32"/>
  <c r="E205" i="32"/>
  <c r="I167" i="32"/>
  <c r="I168" i="32"/>
  <c r="I169" i="32"/>
  <c r="I170" i="32"/>
  <c r="I171" i="32"/>
  <c r="I172" i="32"/>
  <c r="I173" i="32"/>
  <c r="I174" i="32"/>
  <c r="I175" i="32"/>
  <c r="I176" i="32"/>
  <c r="I177" i="32"/>
  <c r="I178" i="32"/>
  <c r="I179" i="32"/>
  <c r="I180" i="32"/>
  <c r="I181" i="32"/>
  <c r="I182" i="32"/>
  <c r="I183" i="32"/>
  <c r="I184" i="32"/>
  <c r="I185" i="32"/>
  <c r="I186" i="32"/>
  <c r="I187" i="32"/>
  <c r="I188" i="32"/>
  <c r="I189" i="32"/>
  <c r="I190" i="32"/>
  <c r="I191" i="32"/>
  <c r="I192" i="32"/>
  <c r="I193" i="32"/>
  <c r="I194" i="32"/>
  <c r="I195" i="32"/>
  <c r="I196" i="32"/>
  <c r="I197" i="32"/>
  <c r="I198" i="32"/>
  <c r="I199" i="32"/>
  <c r="I200" i="32"/>
  <c r="I201" i="32"/>
  <c r="I202" i="32"/>
  <c r="I203" i="32"/>
  <c r="I204" i="32"/>
  <c r="I205" i="32"/>
  <c r="J167" i="32"/>
  <c r="J168" i="32"/>
  <c r="J169" i="32"/>
  <c r="J170" i="32"/>
  <c r="J171" i="32"/>
  <c r="J172" i="32"/>
  <c r="J173" i="32"/>
  <c r="J174" i="32"/>
  <c r="J175" i="32"/>
  <c r="J176" i="32"/>
  <c r="J177" i="32"/>
  <c r="J178" i="32"/>
  <c r="J179" i="32"/>
  <c r="J180" i="32"/>
  <c r="J181" i="32"/>
  <c r="J182" i="32"/>
  <c r="J183" i="32"/>
  <c r="J184" i="32"/>
  <c r="J185" i="32"/>
  <c r="J186" i="32"/>
  <c r="J187" i="32"/>
  <c r="J188" i="32"/>
  <c r="J189" i="32"/>
  <c r="J190" i="32"/>
  <c r="J191" i="32"/>
  <c r="J192" i="32"/>
  <c r="J193" i="32"/>
  <c r="J194" i="32"/>
  <c r="J195" i="32"/>
  <c r="J196" i="32"/>
  <c r="J197" i="32"/>
  <c r="J198" i="32"/>
  <c r="J199" i="32"/>
  <c r="J200" i="32"/>
  <c r="J201" i="32"/>
  <c r="J202" i="32"/>
  <c r="J203" i="32"/>
  <c r="J204" i="32"/>
  <c r="J205" i="32"/>
  <c r="K167" i="32"/>
  <c r="K168" i="32"/>
  <c r="E24" i="3" s="1"/>
  <c r="K169" i="32"/>
  <c r="E28" i="3" s="1"/>
  <c r="K170" i="32"/>
  <c r="K171" i="32"/>
  <c r="K172" i="32"/>
  <c r="K173" i="32"/>
  <c r="K174" i="32"/>
  <c r="K175" i="32"/>
  <c r="K176" i="32"/>
  <c r="K177" i="32"/>
  <c r="K178" i="32"/>
  <c r="K179" i="32"/>
  <c r="K180" i="32"/>
  <c r="K181" i="32"/>
  <c r="K182" i="32"/>
  <c r="E25" i="3" s="1"/>
  <c r="K183" i="32"/>
  <c r="K184" i="32"/>
  <c r="K185" i="32"/>
  <c r="K186" i="32"/>
  <c r="K187" i="32"/>
  <c r="K188" i="32"/>
  <c r="K189" i="32"/>
  <c r="K190" i="32"/>
  <c r="K191" i="32"/>
  <c r="K192" i="32"/>
  <c r="K193" i="32"/>
  <c r="K194" i="32"/>
  <c r="K195" i="32"/>
  <c r="K196" i="32"/>
  <c r="K197" i="32"/>
  <c r="K198" i="32"/>
  <c r="K199" i="32"/>
  <c r="K200" i="32"/>
  <c r="K201" i="32"/>
  <c r="K202" i="32"/>
  <c r="K203" i="32"/>
  <c r="K204" i="32"/>
  <c r="K205" i="32"/>
  <c r="E163" i="32"/>
  <c r="E164" i="32"/>
  <c r="E165" i="32"/>
  <c r="E166" i="32"/>
  <c r="I163" i="32"/>
  <c r="I164" i="32"/>
  <c r="I165" i="32"/>
  <c r="I166" i="32"/>
  <c r="J163" i="32"/>
  <c r="J164" i="32"/>
  <c r="J165" i="32"/>
  <c r="J166" i="32"/>
  <c r="K163" i="32"/>
  <c r="K164" i="32"/>
  <c r="K165" i="32"/>
  <c r="K166" i="32"/>
  <c r="E158" i="32"/>
  <c r="E159" i="32"/>
  <c r="E160" i="32"/>
  <c r="E161" i="32"/>
  <c r="E162" i="32"/>
  <c r="I158" i="32"/>
  <c r="I159" i="32"/>
  <c r="I160" i="32"/>
  <c r="I161" i="32"/>
  <c r="I162" i="32"/>
  <c r="J158" i="32"/>
  <c r="J159" i="32"/>
  <c r="J160" i="32"/>
  <c r="J161" i="32"/>
  <c r="J162" i="32"/>
  <c r="K158" i="32"/>
  <c r="K159" i="32"/>
  <c r="K160" i="32"/>
  <c r="K161" i="32"/>
  <c r="K162" i="32"/>
  <c r="E157" i="32"/>
  <c r="I157" i="32"/>
  <c r="J157" i="32"/>
  <c r="K157" i="32"/>
  <c r="M200" i="32" l="1"/>
  <c r="L200" i="32" s="1"/>
  <c r="M184" i="32"/>
  <c r="L184" i="32" s="1"/>
  <c r="M174" i="32"/>
  <c r="L174" i="32" s="1"/>
  <c r="M167" i="32"/>
  <c r="G27" i="3" s="1"/>
  <c r="H27" i="3" s="1"/>
  <c r="M201" i="32"/>
  <c r="L201" i="32" s="1"/>
  <c r="M197" i="32"/>
  <c r="L197" i="32" s="1"/>
  <c r="M192" i="32"/>
  <c r="L192" i="32" s="1"/>
  <c r="M190" i="32"/>
  <c r="L190" i="32" s="1"/>
  <c r="M214" i="32"/>
  <c r="L214" i="32" s="1"/>
  <c r="M175" i="32"/>
  <c r="E29" i="3"/>
  <c r="M202" i="32"/>
  <c r="L202" i="32" s="1"/>
  <c r="M198" i="32"/>
  <c r="L198" i="32" s="1"/>
  <c r="M196" i="32"/>
  <c r="L196" i="32" s="1"/>
  <c r="M194" i="32"/>
  <c r="L194" i="32" s="1"/>
  <c r="M193" i="32"/>
  <c r="L193" i="32" s="1"/>
  <c r="M191" i="32"/>
  <c r="L191" i="32" s="1"/>
  <c r="M189" i="32"/>
  <c r="L189" i="32" s="1"/>
  <c r="M187" i="32"/>
  <c r="L187" i="32" s="1"/>
  <c r="M183" i="32"/>
  <c r="L183" i="32" s="1"/>
  <c r="M171" i="32"/>
  <c r="L171" i="32" s="1"/>
  <c r="M213" i="32"/>
  <c r="L213" i="32" s="1"/>
  <c r="M203" i="32"/>
  <c r="L203" i="32" s="1"/>
  <c r="M195" i="32"/>
  <c r="L195" i="32" s="1"/>
  <c r="M185" i="32"/>
  <c r="L185" i="32" s="1"/>
  <c r="M178" i="32"/>
  <c r="L178" i="32" s="1"/>
  <c r="M182" i="32"/>
  <c r="L182" i="32" s="1"/>
  <c r="M169" i="32"/>
  <c r="L169" i="32" s="1"/>
  <c r="M199" i="32"/>
  <c r="L199" i="32" s="1"/>
  <c r="M186" i="32"/>
  <c r="L186" i="32" s="1"/>
  <c r="M180" i="32"/>
  <c r="L180" i="32" s="1"/>
  <c r="M176" i="32"/>
  <c r="L176" i="32" s="1"/>
  <c r="M172" i="32"/>
  <c r="L172" i="32" s="1"/>
  <c r="M170" i="32"/>
  <c r="L170" i="32" s="1"/>
  <c r="M168" i="32"/>
  <c r="L168" i="32" s="1"/>
  <c r="E26" i="3"/>
  <c r="E27" i="3"/>
  <c r="J25" i="3"/>
  <c r="J28" i="3"/>
  <c r="J24" i="3"/>
  <c r="M181" i="32"/>
  <c r="L181" i="32" s="1"/>
  <c r="M179" i="32"/>
  <c r="L179" i="32" s="1"/>
  <c r="M177" i="32"/>
  <c r="L177" i="32" s="1"/>
  <c r="M173" i="32"/>
  <c r="L173" i="32" s="1"/>
  <c r="M188" i="32"/>
  <c r="L188" i="32" s="1"/>
  <c r="M205" i="32"/>
  <c r="L205" i="32" s="1"/>
  <c r="M204" i="32"/>
  <c r="L204" i="32" s="1"/>
  <c r="L167" i="32" l="1"/>
  <c r="G29" i="3"/>
  <c r="H29" i="3" s="1"/>
  <c r="L175" i="32"/>
  <c r="G28" i="3"/>
  <c r="G24" i="3"/>
  <c r="H24" i="3" s="1"/>
  <c r="J29" i="3"/>
  <c r="G26" i="3"/>
  <c r="I26" i="3" s="1"/>
  <c r="I27" i="3"/>
  <c r="N27" i="3" s="1"/>
  <c r="B191" i="48" s="1"/>
  <c r="J26" i="3"/>
  <c r="J27" i="3"/>
  <c r="G25" i="3"/>
  <c r="E156" i="32"/>
  <c r="I156" i="32"/>
  <c r="J156" i="32"/>
  <c r="K156" i="32"/>
  <c r="E155" i="32"/>
  <c r="I155" i="32"/>
  <c r="J155" i="32"/>
  <c r="K155" i="32"/>
  <c r="E154" i="32"/>
  <c r="I154" i="32"/>
  <c r="J154" i="32"/>
  <c r="K154" i="32"/>
  <c r="F16" i="3"/>
  <c r="E153" i="32"/>
  <c r="I153" i="32"/>
  <c r="J153" i="32"/>
  <c r="K153" i="32"/>
  <c r="E151" i="32"/>
  <c r="E152" i="32"/>
  <c r="I151" i="32"/>
  <c r="I152" i="32"/>
  <c r="J151" i="32"/>
  <c r="J152" i="32"/>
  <c r="K151" i="32"/>
  <c r="K152" i="32"/>
  <c r="E150" i="32"/>
  <c r="I150" i="32"/>
  <c r="J150" i="32"/>
  <c r="K150" i="32"/>
  <c r="E149" i="32"/>
  <c r="I149" i="32"/>
  <c r="J149" i="32"/>
  <c r="K149" i="32"/>
  <c r="I29" i="3" l="1"/>
  <c r="K29" i="3" s="1"/>
  <c r="H28" i="3"/>
  <c r="I28" i="3"/>
  <c r="L28" i="3" s="1"/>
  <c r="I24" i="3"/>
  <c r="N24" i="3" s="1"/>
  <c r="B188" i="48" s="1"/>
  <c r="L26" i="3"/>
  <c r="N26" i="3"/>
  <c r="B190" i="48" s="1"/>
  <c r="H26" i="3"/>
  <c r="L27" i="3"/>
  <c r="K27" i="3"/>
  <c r="H25" i="3"/>
  <c r="I25" i="3"/>
  <c r="K26" i="3"/>
  <c r="E148" i="32"/>
  <c r="I148" i="32"/>
  <c r="J148" i="32"/>
  <c r="K148" i="32"/>
  <c r="E147" i="32"/>
  <c r="I147" i="32"/>
  <c r="J147" i="32"/>
  <c r="K147" i="32"/>
  <c r="E146" i="32"/>
  <c r="I146" i="32"/>
  <c r="J146" i="32"/>
  <c r="K146" i="32"/>
  <c r="E143" i="32"/>
  <c r="E144" i="32"/>
  <c r="E145" i="32"/>
  <c r="I143" i="32"/>
  <c r="I144" i="32"/>
  <c r="I145" i="32"/>
  <c r="J143" i="32"/>
  <c r="J144" i="32"/>
  <c r="J145" i="32"/>
  <c r="K143" i="32"/>
  <c r="K144" i="32"/>
  <c r="K145" i="32"/>
  <c r="E142" i="32"/>
  <c r="I142" i="32"/>
  <c r="J142" i="32"/>
  <c r="K142" i="32"/>
  <c r="E141" i="32"/>
  <c r="I141" i="32"/>
  <c r="J141" i="32"/>
  <c r="K141" i="32"/>
  <c r="E139" i="32"/>
  <c r="E140" i="32"/>
  <c r="I139" i="32"/>
  <c r="I140" i="32"/>
  <c r="J139" i="32"/>
  <c r="J140" i="32"/>
  <c r="K139" i="32"/>
  <c r="K140" i="32"/>
  <c r="E138" i="32"/>
  <c r="I138" i="32"/>
  <c r="J138" i="32"/>
  <c r="K138" i="32"/>
  <c r="E137" i="32"/>
  <c r="I137" i="32"/>
  <c r="J137" i="32"/>
  <c r="K137" i="32"/>
  <c r="E136" i="32"/>
  <c r="I136" i="32"/>
  <c r="J136" i="32"/>
  <c r="K136" i="32"/>
  <c r="E129" i="32"/>
  <c r="E130" i="32"/>
  <c r="E131" i="32"/>
  <c r="E132" i="32"/>
  <c r="E133" i="32"/>
  <c r="E134" i="32"/>
  <c r="E135" i="32"/>
  <c r="I129" i="32"/>
  <c r="I130" i="32"/>
  <c r="I131" i="32"/>
  <c r="I132" i="32"/>
  <c r="I133" i="32"/>
  <c r="I134" i="32"/>
  <c r="I135" i="32"/>
  <c r="J129" i="32"/>
  <c r="J130" i="32"/>
  <c r="J131" i="32"/>
  <c r="J132" i="32"/>
  <c r="J133" i="32"/>
  <c r="J134" i="32"/>
  <c r="J135" i="32"/>
  <c r="K129" i="32"/>
  <c r="K130" i="32"/>
  <c r="K131" i="32"/>
  <c r="K132" i="32"/>
  <c r="K133" i="32"/>
  <c r="K134" i="32"/>
  <c r="K135" i="32"/>
  <c r="N29" i="3" l="1"/>
  <c r="B193" i="48" s="1"/>
  <c r="L29" i="3"/>
  <c r="K24" i="3"/>
  <c r="L24" i="3"/>
  <c r="N28" i="3"/>
  <c r="B192" i="48" s="1"/>
  <c r="K28" i="3"/>
  <c r="N25" i="3"/>
  <c r="B189" i="48" s="1"/>
  <c r="K25" i="3"/>
  <c r="L25" i="3"/>
  <c r="E128" i="32"/>
  <c r="I128" i="32"/>
  <c r="J128" i="32"/>
  <c r="K128" i="32"/>
  <c r="E127" i="32"/>
  <c r="I127" i="32"/>
  <c r="J127" i="32"/>
  <c r="K127" i="32"/>
  <c r="E126" i="32"/>
  <c r="I126" i="32"/>
  <c r="J126" i="32"/>
  <c r="K126" i="32"/>
  <c r="E125" i="32"/>
  <c r="I125" i="32"/>
  <c r="J125" i="32"/>
  <c r="K125" i="32"/>
  <c r="E124" i="32"/>
  <c r="I124" i="32"/>
  <c r="J124" i="32"/>
  <c r="K124" i="32"/>
  <c r="E123" i="32"/>
  <c r="I123" i="32"/>
  <c r="J123" i="32"/>
  <c r="K123" i="32"/>
  <c r="E122" i="32" l="1"/>
  <c r="I122" i="32"/>
  <c r="J122" i="32"/>
  <c r="K122" i="32"/>
  <c r="E3" i="32"/>
  <c r="C8" i="3" s="1"/>
  <c r="E4" i="32"/>
  <c r="C18" i="3" s="1"/>
  <c r="E5" i="32"/>
  <c r="C15" i="3" s="1"/>
  <c r="E6" i="32"/>
  <c r="C17" i="3" s="1"/>
  <c r="E7" i="32"/>
  <c r="C11" i="3" s="1"/>
  <c r="E8" i="32"/>
  <c r="E9" i="32"/>
  <c r="E10" i="32"/>
  <c r="E11" i="32"/>
  <c r="E12" i="32"/>
  <c r="C14" i="3" s="1"/>
  <c r="E13" i="32"/>
  <c r="E14" i="32"/>
  <c r="C13" i="3" s="1"/>
  <c r="E15" i="32"/>
  <c r="E16" i="32"/>
  <c r="E17" i="32"/>
  <c r="E18" i="32"/>
  <c r="C10" i="3" s="1"/>
  <c r="E19" i="32"/>
  <c r="E20" i="32"/>
  <c r="E21" i="32"/>
  <c r="E22" i="32"/>
  <c r="C7" i="3" s="1"/>
  <c r="E23" i="32"/>
  <c r="E24" i="32"/>
  <c r="C19" i="3" s="1"/>
  <c r="E25" i="32"/>
  <c r="C12" i="3" s="1"/>
  <c r="E26" i="32"/>
  <c r="C9" i="3" s="1"/>
  <c r="E27" i="32"/>
  <c r="E28" i="32"/>
  <c r="C20" i="3" s="1"/>
  <c r="E29" i="32"/>
  <c r="E30" i="32"/>
  <c r="E31" i="32"/>
  <c r="E32" i="32"/>
  <c r="E33" i="32"/>
  <c r="E34" i="32"/>
  <c r="E35" i="32"/>
  <c r="E36" i="32"/>
  <c r="E37" i="32"/>
  <c r="E38" i="32"/>
  <c r="E39" i="32"/>
  <c r="E40" i="32"/>
  <c r="E41" i="32"/>
  <c r="E42" i="32"/>
  <c r="E43" i="32"/>
  <c r="E44" i="32"/>
  <c r="E45" i="32"/>
  <c r="E46" i="32"/>
  <c r="E47" i="32"/>
  <c r="E48" i="32"/>
  <c r="E49" i="32"/>
  <c r="E50" i="32"/>
  <c r="E51" i="32"/>
  <c r="E52" i="32"/>
  <c r="E53" i="32"/>
  <c r="E54" i="32"/>
  <c r="E55" i="32"/>
  <c r="E56" i="32"/>
  <c r="C21" i="3" s="1"/>
  <c r="E57" i="32"/>
  <c r="E58" i="32"/>
  <c r="E59" i="32"/>
  <c r="E60" i="32"/>
  <c r="E61" i="32"/>
  <c r="E62" i="32"/>
  <c r="E63" i="32"/>
  <c r="E64" i="32"/>
  <c r="E65" i="32"/>
  <c r="E66" i="32"/>
  <c r="E67" i="32"/>
  <c r="E68" i="32"/>
  <c r="C23" i="3" s="1"/>
  <c r="E69" i="32"/>
  <c r="C22" i="3" s="1"/>
  <c r="E70" i="32"/>
  <c r="E71" i="32"/>
  <c r="E72" i="32"/>
  <c r="E73" i="32"/>
  <c r="E74" i="32"/>
  <c r="E75" i="32"/>
  <c r="E76" i="32"/>
  <c r="E77" i="32"/>
  <c r="E78" i="32"/>
  <c r="E79" i="32"/>
  <c r="E80" i="32"/>
  <c r="E81" i="32"/>
  <c r="E82" i="32"/>
  <c r="E83" i="32"/>
  <c r="E84" i="32"/>
  <c r="E85" i="32"/>
  <c r="E86" i="32"/>
  <c r="E87" i="32"/>
  <c r="E88" i="32"/>
  <c r="E89" i="32"/>
  <c r="E90" i="32"/>
  <c r="E91" i="32"/>
  <c r="C16" i="3" s="1"/>
  <c r="E92" i="32"/>
  <c r="E93" i="32"/>
  <c r="E94" i="32"/>
  <c r="E95" i="32"/>
  <c r="E96" i="32"/>
  <c r="E97" i="32"/>
  <c r="E98" i="32"/>
  <c r="E99" i="32"/>
  <c r="E100" i="32"/>
  <c r="E101" i="32"/>
  <c r="E102" i="32"/>
  <c r="E103" i="32"/>
  <c r="E104" i="32"/>
  <c r="E105" i="32"/>
  <c r="E106" i="32"/>
  <c r="E107" i="32"/>
  <c r="E108" i="32"/>
  <c r="E109" i="32"/>
  <c r="E110" i="32"/>
  <c r="E111" i="32"/>
  <c r="E112" i="32"/>
  <c r="E113" i="32"/>
  <c r="E114" i="32"/>
  <c r="E115" i="32"/>
  <c r="E116" i="32"/>
  <c r="E117" i="32"/>
  <c r="E118" i="32"/>
  <c r="E119" i="32"/>
  <c r="E120" i="32"/>
  <c r="E121" i="32"/>
  <c r="I121" i="32" l="1"/>
  <c r="J121" i="32"/>
  <c r="K121" i="32"/>
  <c r="I120" i="32"/>
  <c r="J120" i="32"/>
  <c r="K120" i="32"/>
  <c r="I119" i="32"/>
  <c r="J119" i="32"/>
  <c r="K119" i="32"/>
  <c r="I118" i="32"/>
  <c r="J118" i="32"/>
  <c r="K118" i="32"/>
  <c r="K91" i="32"/>
  <c r="E16" i="3" s="1"/>
  <c r="J91" i="32"/>
  <c r="K112" i="32"/>
  <c r="K116" i="32"/>
  <c r="J116" i="32"/>
  <c r="I117" i="32"/>
  <c r="J117" i="32"/>
  <c r="K117" i="32"/>
  <c r="I116" i="32"/>
  <c r="I114" i="32"/>
  <c r="I115" i="32"/>
  <c r="J114" i="32"/>
  <c r="J115" i="32"/>
  <c r="K114" i="32"/>
  <c r="K115" i="32"/>
  <c r="I113" i="32"/>
  <c r="J113" i="32"/>
  <c r="K113" i="32"/>
  <c r="I112" i="32"/>
  <c r="J112" i="32"/>
  <c r="I111" i="32"/>
  <c r="J111" i="32"/>
  <c r="K111" i="32"/>
  <c r="I110" i="32"/>
  <c r="J110" i="32"/>
  <c r="K110" i="32"/>
  <c r="I108" i="32"/>
  <c r="I109" i="32"/>
  <c r="J108" i="32"/>
  <c r="J109" i="32"/>
  <c r="K108" i="32"/>
  <c r="K109" i="32"/>
  <c r="I107" i="32"/>
  <c r="J107" i="32"/>
  <c r="K107" i="32"/>
  <c r="I106" i="32"/>
  <c r="J106" i="32"/>
  <c r="K106" i="32"/>
  <c r="I105" i="32"/>
  <c r="J105" i="32"/>
  <c r="K105" i="32"/>
  <c r="I104" i="32"/>
  <c r="J104" i="32"/>
  <c r="K104" i="32"/>
  <c r="I103" i="32"/>
  <c r="J103" i="32"/>
  <c r="K103" i="32"/>
  <c r="I102" i="32"/>
  <c r="J102" i="32"/>
  <c r="K102" i="32"/>
  <c r="I101" i="32"/>
  <c r="J101" i="32"/>
  <c r="K101" i="32"/>
  <c r="I96" i="32"/>
  <c r="I97" i="32"/>
  <c r="I98" i="32"/>
  <c r="I99" i="32"/>
  <c r="I100" i="32"/>
  <c r="J96" i="32"/>
  <c r="J97" i="32"/>
  <c r="J98" i="32"/>
  <c r="J99" i="32"/>
  <c r="J100" i="32"/>
  <c r="K96" i="32"/>
  <c r="K97" i="32"/>
  <c r="K98" i="32"/>
  <c r="K99" i="32"/>
  <c r="K100" i="32"/>
  <c r="I91" i="32"/>
  <c r="I92" i="32"/>
  <c r="I93" i="32"/>
  <c r="I94" i="32"/>
  <c r="I95" i="32"/>
  <c r="J92" i="32"/>
  <c r="J93" i="32"/>
  <c r="J94" i="32"/>
  <c r="J95" i="32"/>
  <c r="K92" i="32"/>
  <c r="K93" i="32"/>
  <c r="K94" i="32"/>
  <c r="K95" i="32"/>
  <c r="I86" i="32"/>
  <c r="I87" i="32"/>
  <c r="I88" i="32"/>
  <c r="I89" i="32"/>
  <c r="I90" i="32"/>
  <c r="J86" i="32"/>
  <c r="J87" i="32"/>
  <c r="J88" i="32"/>
  <c r="J89" i="32"/>
  <c r="J90" i="32"/>
  <c r="K86" i="32"/>
  <c r="K87" i="32"/>
  <c r="K88" i="32"/>
  <c r="K89" i="32"/>
  <c r="K90" i="32"/>
  <c r="I77" i="32"/>
  <c r="I78" i="32"/>
  <c r="I79" i="32"/>
  <c r="I80" i="32"/>
  <c r="I81" i="32"/>
  <c r="I82" i="32"/>
  <c r="I83" i="32"/>
  <c r="I84" i="32"/>
  <c r="I85" i="32"/>
  <c r="J77" i="32"/>
  <c r="J78" i="32"/>
  <c r="J79" i="32"/>
  <c r="J80" i="32"/>
  <c r="J81" i="32"/>
  <c r="J82" i="32"/>
  <c r="J83" i="32"/>
  <c r="J84" i="32"/>
  <c r="J85" i="32"/>
  <c r="K77" i="32"/>
  <c r="K78" i="32"/>
  <c r="K79" i="32"/>
  <c r="K80" i="32"/>
  <c r="K81" i="32"/>
  <c r="K82" i="32"/>
  <c r="K83" i="32"/>
  <c r="K84" i="32"/>
  <c r="K85" i="32"/>
  <c r="I72" i="32"/>
  <c r="I73" i="32"/>
  <c r="I74" i="32"/>
  <c r="I75" i="32"/>
  <c r="I76" i="32"/>
  <c r="J72" i="32"/>
  <c r="J73" i="32"/>
  <c r="J74" i="32"/>
  <c r="J75" i="32"/>
  <c r="J76" i="32"/>
  <c r="K72" i="32"/>
  <c r="K73" i="32"/>
  <c r="K74" i="32"/>
  <c r="K75" i="32"/>
  <c r="K76" i="32"/>
  <c r="I68" i="32"/>
  <c r="I69" i="32"/>
  <c r="I70" i="32"/>
  <c r="I71" i="32"/>
  <c r="J68" i="32"/>
  <c r="J69" i="32"/>
  <c r="J70" i="32"/>
  <c r="J71" i="32"/>
  <c r="K68" i="32"/>
  <c r="E23" i="3" s="1"/>
  <c r="K69" i="32"/>
  <c r="E22" i="3" s="1"/>
  <c r="K70" i="32"/>
  <c r="K71" i="32"/>
  <c r="I65" i="32"/>
  <c r="I66" i="32"/>
  <c r="I67" i="32"/>
  <c r="J65" i="32"/>
  <c r="J66" i="32"/>
  <c r="J67" i="32"/>
  <c r="K65" i="32"/>
  <c r="K66" i="32"/>
  <c r="K67" i="32"/>
  <c r="I57" i="32"/>
  <c r="I58" i="32"/>
  <c r="I59" i="32"/>
  <c r="I60" i="32"/>
  <c r="I61" i="32"/>
  <c r="I62" i="32"/>
  <c r="I63" i="32"/>
  <c r="I64" i="32"/>
  <c r="J57" i="32"/>
  <c r="J58" i="32"/>
  <c r="J59" i="32"/>
  <c r="J60" i="32"/>
  <c r="J61" i="32"/>
  <c r="J62" i="32"/>
  <c r="J63" i="32"/>
  <c r="J64" i="32"/>
  <c r="K57" i="32"/>
  <c r="K58" i="32"/>
  <c r="K59" i="32"/>
  <c r="K60" i="32"/>
  <c r="K61" i="32"/>
  <c r="K62" i="32"/>
  <c r="K63" i="32"/>
  <c r="K64" i="32"/>
  <c r="I56" i="32"/>
  <c r="J56" i="32"/>
  <c r="K56" i="32"/>
  <c r="E21" i="3" s="1"/>
  <c r="I51" i="32"/>
  <c r="I52" i="32"/>
  <c r="I53" i="32"/>
  <c r="I54" i="32"/>
  <c r="I55" i="32"/>
  <c r="J51" i="32"/>
  <c r="J52" i="32"/>
  <c r="J53" i="32"/>
  <c r="J54" i="32"/>
  <c r="J55" i="32"/>
  <c r="K51" i="32"/>
  <c r="K52" i="32"/>
  <c r="K53" i="32"/>
  <c r="K54" i="32"/>
  <c r="K55" i="32"/>
  <c r="I43" i="32"/>
  <c r="I44" i="32"/>
  <c r="I45" i="32"/>
  <c r="I46" i="32"/>
  <c r="I47" i="32"/>
  <c r="I48" i="32"/>
  <c r="I49" i="32"/>
  <c r="I50" i="32"/>
  <c r="J43" i="32"/>
  <c r="J44" i="32"/>
  <c r="J45" i="32"/>
  <c r="J46" i="32"/>
  <c r="J47" i="32"/>
  <c r="J48" i="32"/>
  <c r="J49" i="32"/>
  <c r="J50" i="32"/>
  <c r="K43" i="32"/>
  <c r="K44" i="32"/>
  <c r="K45" i="32"/>
  <c r="K46" i="32"/>
  <c r="K47" i="32"/>
  <c r="K48" i="32"/>
  <c r="K49" i="32"/>
  <c r="K50" i="32"/>
  <c r="I29" i="32"/>
  <c r="I30" i="32"/>
  <c r="I31" i="32"/>
  <c r="I32" i="32"/>
  <c r="I33" i="32"/>
  <c r="I34" i="32"/>
  <c r="I35" i="32"/>
  <c r="I36" i="32"/>
  <c r="I37" i="32"/>
  <c r="I38" i="32"/>
  <c r="I39" i="32"/>
  <c r="I40" i="32"/>
  <c r="I41" i="32"/>
  <c r="I42" i="32"/>
  <c r="J29" i="32"/>
  <c r="J30" i="32"/>
  <c r="J31" i="32"/>
  <c r="J32" i="32"/>
  <c r="J33" i="32"/>
  <c r="J34" i="32"/>
  <c r="J35" i="32"/>
  <c r="J36" i="32"/>
  <c r="J37" i="32"/>
  <c r="J38" i="32"/>
  <c r="J39" i="32"/>
  <c r="J40" i="32"/>
  <c r="J41" i="32"/>
  <c r="J42" i="32"/>
  <c r="K29" i="32"/>
  <c r="K30" i="32"/>
  <c r="K31" i="32"/>
  <c r="K32" i="32"/>
  <c r="K33" i="32"/>
  <c r="K34" i="32"/>
  <c r="K35" i="32"/>
  <c r="K36" i="32"/>
  <c r="K37" i="32"/>
  <c r="K38" i="32"/>
  <c r="K39" i="32"/>
  <c r="K40" i="32"/>
  <c r="K41" i="32"/>
  <c r="K42" i="32"/>
  <c r="I24" i="32"/>
  <c r="I25" i="32"/>
  <c r="I26" i="32"/>
  <c r="I27" i="32"/>
  <c r="I28" i="32"/>
  <c r="J24" i="32"/>
  <c r="J25" i="32"/>
  <c r="J26" i="32"/>
  <c r="J27" i="32"/>
  <c r="J28" i="32"/>
  <c r="K24" i="32"/>
  <c r="E19" i="3" s="1"/>
  <c r="K25" i="32"/>
  <c r="E12" i="3" s="1"/>
  <c r="K26" i="32"/>
  <c r="E9" i="3" s="1"/>
  <c r="K27" i="32"/>
  <c r="K28" i="32"/>
  <c r="E20" i="3" s="1"/>
  <c r="I23" i="32"/>
  <c r="J23" i="32"/>
  <c r="K23" i="32"/>
  <c r="I21" i="32"/>
  <c r="I22" i="32"/>
  <c r="J21" i="32"/>
  <c r="J22" i="32"/>
  <c r="K21" i="32"/>
  <c r="K22" i="32"/>
  <c r="E7" i="3" s="1"/>
  <c r="I12" i="32"/>
  <c r="I13" i="32"/>
  <c r="I14" i="32"/>
  <c r="I15" i="32"/>
  <c r="I16" i="32"/>
  <c r="I17" i="32"/>
  <c r="I18" i="32"/>
  <c r="I19" i="32"/>
  <c r="I20" i="32"/>
  <c r="J12" i="32"/>
  <c r="J13" i="32"/>
  <c r="J14" i="32"/>
  <c r="J15" i="32"/>
  <c r="J16" i="32"/>
  <c r="J17" i="32"/>
  <c r="J18" i="32"/>
  <c r="J19" i="32"/>
  <c r="J20" i="32"/>
  <c r="K12" i="32"/>
  <c r="E14" i="3" s="1"/>
  <c r="K13" i="32"/>
  <c r="K14" i="32"/>
  <c r="E13" i="3" s="1"/>
  <c r="K15" i="32"/>
  <c r="K16" i="32"/>
  <c r="K17" i="32"/>
  <c r="K18" i="32"/>
  <c r="E10" i="3" s="1"/>
  <c r="K19" i="32"/>
  <c r="K20" i="32"/>
  <c r="I8" i="32"/>
  <c r="J8" i="32"/>
  <c r="K8" i="32"/>
  <c r="I9" i="32"/>
  <c r="J9" i="32"/>
  <c r="K9" i="32"/>
  <c r="I10" i="32"/>
  <c r="J10" i="32"/>
  <c r="K10" i="32"/>
  <c r="I11" i="32"/>
  <c r="J11" i="32"/>
  <c r="K11" i="32"/>
  <c r="J5" i="32"/>
  <c r="I5" i="32"/>
  <c r="K5" i="32"/>
  <c r="E15" i="3" s="1"/>
  <c r="I6" i="32"/>
  <c r="J6" i="32"/>
  <c r="K6" i="32"/>
  <c r="E17" i="3" s="1"/>
  <c r="I7" i="32"/>
  <c r="J7" i="32"/>
  <c r="K7" i="32"/>
  <c r="E11" i="3" s="1"/>
  <c r="I3" i="32"/>
  <c r="J3" i="32"/>
  <c r="I4" i="32"/>
  <c r="J4" i="32"/>
  <c r="M215" i="32" l="1"/>
  <c r="L215" i="32" s="1"/>
  <c r="M207" i="32"/>
  <c r="L207" i="32" s="1"/>
  <c r="M208" i="32"/>
  <c r="L208" i="32" s="1"/>
  <c r="M212" i="32"/>
  <c r="L212" i="32" s="1"/>
  <c r="M209" i="32"/>
  <c r="L209" i="32" s="1"/>
  <c r="M206" i="32"/>
  <c r="L206" i="32" s="1"/>
  <c r="M210" i="32"/>
  <c r="L210" i="32" s="1"/>
  <c r="M211" i="32"/>
  <c r="L211" i="32" s="1"/>
  <c r="J16" i="3"/>
  <c r="M166" i="32"/>
  <c r="L166" i="32" s="1"/>
  <c r="M164" i="32"/>
  <c r="L164" i="32" s="1"/>
  <c r="M165" i="32"/>
  <c r="L165" i="32" s="1"/>
  <c r="M163" i="32"/>
  <c r="L163" i="32" s="1"/>
  <c r="M162" i="32"/>
  <c r="L162" i="32" s="1"/>
  <c r="M155" i="32"/>
  <c r="L155" i="32" s="1"/>
  <c r="M160" i="32"/>
  <c r="L160" i="32" s="1"/>
  <c r="M157" i="32"/>
  <c r="L157" i="32" s="1"/>
  <c r="M159" i="32"/>
  <c r="L159" i="32" s="1"/>
  <c r="M156" i="32"/>
  <c r="L156" i="32" s="1"/>
  <c r="M158" i="32"/>
  <c r="L158" i="32" s="1"/>
  <c r="M154" i="32"/>
  <c r="L154" i="32" s="1"/>
  <c r="M161" i="32"/>
  <c r="L161" i="32" s="1"/>
  <c r="M151" i="32"/>
  <c r="L151" i="32" s="1"/>
  <c r="M152" i="32"/>
  <c r="L152" i="32" s="1"/>
  <c r="M153" i="32"/>
  <c r="L153" i="32" s="1"/>
  <c r="M150" i="32"/>
  <c r="L150" i="32" s="1"/>
  <c r="M149" i="32"/>
  <c r="L149" i="32" s="1"/>
  <c r="M132" i="32"/>
  <c r="L132" i="32" s="1"/>
  <c r="M147" i="32"/>
  <c r="L147" i="32" s="1"/>
  <c r="M148" i="32"/>
  <c r="L148" i="32" s="1"/>
  <c r="M133" i="32"/>
  <c r="L133" i="32" s="1"/>
  <c r="M144" i="32"/>
  <c r="L144" i="32" s="1"/>
  <c r="M141" i="32"/>
  <c r="L141" i="32" s="1"/>
  <c r="M146" i="32"/>
  <c r="L146" i="32" s="1"/>
  <c r="M135" i="32"/>
  <c r="L135" i="32" s="1"/>
  <c r="M143" i="32"/>
  <c r="L143" i="32" s="1"/>
  <c r="M145" i="32"/>
  <c r="L145" i="32" s="1"/>
  <c r="M142" i="32"/>
  <c r="L142" i="32" s="1"/>
  <c r="M140" i="32"/>
  <c r="L140" i="32" s="1"/>
  <c r="M139" i="32"/>
  <c r="L139" i="32" s="1"/>
  <c r="M138" i="32"/>
  <c r="L138" i="32" s="1"/>
  <c r="M137" i="32"/>
  <c r="L137" i="32" s="1"/>
  <c r="M93" i="32"/>
  <c r="L93" i="32" s="1"/>
  <c r="M136" i="32"/>
  <c r="L136" i="32" s="1"/>
  <c r="M127" i="32"/>
  <c r="L127" i="32" s="1"/>
  <c r="M134" i="32"/>
  <c r="L134" i="32" s="1"/>
  <c r="M130" i="32"/>
  <c r="L130" i="32" s="1"/>
  <c r="M129" i="32"/>
  <c r="L129" i="32" s="1"/>
  <c r="M131" i="32"/>
  <c r="L131" i="32" s="1"/>
  <c r="M128" i="32"/>
  <c r="L128" i="32" s="1"/>
  <c r="M123" i="32"/>
  <c r="L123" i="32" s="1"/>
  <c r="M125" i="32"/>
  <c r="L125" i="32" s="1"/>
  <c r="M126" i="32"/>
  <c r="L126" i="32" s="1"/>
  <c r="M124" i="32"/>
  <c r="L124" i="32" s="1"/>
  <c r="M122" i="32"/>
  <c r="L122" i="32" s="1"/>
  <c r="M14" i="32"/>
  <c r="G13" i="3" s="1"/>
  <c r="M6" i="32"/>
  <c r="M91" i="32"/>
  <c r="M121" i="32"/>
  <c r="L121" i="32" s="1"/>
  <c r="M118" i="32"/>
  <c r="L118" i="32" s="1"/>
  <c r="M120" i="32"/>
  <c r="L120" i="32" s="1"/>
  <c r="M119" i="32"/>
  <c r="L119" i="32" s="1"/>
  <c r="M109" i="32"/>
  <c r="L109" i="32" s="1"/>
  <c r="M69" i="32"/>
  <c r="M103" i="32"/>
  <c r="L103" i="32" s="1"/>
  <c r="M108" i="32"/>
  <c r="L108" i="32" s="1"/>
  <c r="M114" i="32"/>
  <c r="L114" i="32" s="1"/>
  <c r="M112" i="32"/>
  <c r="L112" i="32" s="1"/>
  <c r="M117" i="32"/>
  <c r="L117" i="32" s="1"/>
  <c r="M113" i="32"/>
  <c r="L113" i="32" s="1"/>
  <c r="M111" i="32"/>
  <c r="L111" i="32" s="1"/>
  <c r="M116" i="32"/>
  <c r="L116" i="32" s="1"/>
  <c r="M115" i="32"/>
  <c r="L115" i="32" s="1"/>
  <c r="M107" i="32"/>
  <c r="L107" i="32" s="1"/>
  <c r="M56" i="32"/>
  <c r="M110" i="32"/>
  <c r="L110" i="32" s="1"/>
  <c r="M106" i="32"/>
  <c r="L106" i="32" s="1"/>
  <c r="M105" i="32"/>
  <c r="L105" i="32" s="1"/>
  <c r="M104" i="32"/>
  <c r="L104" i="32" s="1"/>
  <c r="M96" i="32"/>
  <c r="L96" i="32" s="1"/>
  <c r="M101" i="32"/>
  <c r="L101" i="32" s="1"/>
  <c r="M102" i="32"/>
  <c r="L102" i="32" s="1"/>
  <c r="M100" i="32"/>
  <c r="L100" i="32" s="1"/>
  <c r="M92" i="32"/>
  <c r="L92" i="32" s="1"/>
  <c r="M83" i="32"/>
  <c r="L83" i="32" s="1"/>
  <c r="M94" i="32"/>
  <c r="L94" i="32" s="1"/>
  <c r="M86" i="32"/>
  <c r="L86" i="32" s="1"/>
  <c r="M99" i="32"/>
  <c r="L99" i="32" s="1"/>
  <c r="M97" i="32"/>
  <c r="L97" i="32" s="1"/>
  <c r="M98" i="32"/>
  <c r="L98" i="32" s="1"/>
  <c r="M55" i="32"/>
  <c r="L55" i="32" s="1"/>
  <c r="M71" i="32"/>
  <c r="L71" i="32" s="1"/>
  <c r="M77" i="32"/>
  <c r="L77" i="32" s="1"/>
  <c r="M89" i="32"/>
  <c r="L89" i="32" s="1"/>
  <c r="M95" i="32"/>
  <c r="L95" i="32" s="1"/>
  <c r="M80" i="32"/>
  <c r="L80" i="32" s="1"/>
  <c r="M87" i="32"/>
  <c r="L87" i="32" s="1"/>
  <c r="M90" i="32"/>
  <c r="L90" i="32" s="1"/>
  <c r="M88" i="32"/>
  <c r="L88" i="32" s="1"/>
  <c r="M68" i="32"/>
  <c r="M85" i="32"/>
  <c r="L85" i="32" s="1"/>
  <c r="M81" i="32"/>
  <c r="L81" i="32" s="1"/>
  <c r="M78" i="32"/>
  <c r="L78" i="32" s="1"/>
  <c r="M59" i="32"/>
  <c r="L59" i="32" s="1"/>
  <c r="M84" i="32"/>
  <c r="L84" i="32" s="1"/>
  <c r="M82" i="32"/>
  <c r="L82" i="32" s="1"/>
  <c r="M74" i="32"/>
  <c r="L74" i="32" s="1"/>
  <c r="M79" i="32"/>
  <c r="L79" i="32" s="1"/>
  <c r="M67" i="32"/>
  <c r="L67" i="32" s="1"/>
  <c r="M75" i="32"/>
  <c r="L75" i="32" s="1"/>
  <c r="M65" i="32"/>
  <c r="L65" i="32" s="1"/>
  <c r="M73" i="32"/>
  <c r="L73" i="32" s="1"/>
  <c r="M63" i="32"/>
  <c r="L63" i="32" s="1"/>
  <c r="M70" i="32"/>
  <c r="L70" i="32" s="1"/>
  <c r="M76" i="32"/>
  <c r="L76" i="32" s="1"/>
  <c r="M72" i="32"/>
  <c r="L72" i="32" s="1"/>
  <c r="M66" i="32"/>
  <c r="L66" i="32" s="1"/>
  <c r="M51" i="32"/>
  <c r="L51" i="32" s="1"/>
  <c r="M53" i="32"/>
  <c r="L53" i="32" s="1"/>
  <c r="M61" i="32"/>
  <c r="L61" i="32" s="1"/>
  <c r="M64" i="32"/>
  <c r="L64" i="32" s="1"/>
  <c r="M50" i="32"/>
  <c r="L50" i="32" s="1"/>
  <c r="M19" i="32"/>
  <c r="L19" i="32" s="1"/>
  <c r="M29" i="32"/>
  <c r="L29" i="32" s="1"/>
  <c r="M47" i="32"/>
  <c r="L47" i="32" s="1"/>
  <c r="M28" i="32"/>
  <c r="M26" i="32"/>
  <c r="G9" i="3" s="1"/>
  <c r="M24" i="32"/>
  <c r="M40" i="32"/>
  <c r="L40" i="32" s="1"/>
  <c r="M34" i="32"/>
  <c r="L34" i="32" s="1"/>
  <c r="M31" i="32"/>
  <c r="L31" i="32" s="1"/>
  <c r="M62" i="32"/>
  <c r="L62" i="32" s="1"/>
  <c r="M60" i="32"/>
  <c r="L60" i="32" s="1"/>
  <c r="M58" i="32"/>
  <c r="L58" i="32" s="1"/>
  <c r="M57" i="32"/>
  <c r="L57" i="32" s="1"/>
  <c r="M36" i="32"/>
  <c r="L36" i="32" s="1"/>
  <c r="M25" i="32"/>
  <c r="M54" i="32"/>
  <c r="L54" i="32" s="1"/>
  <c r="M52" i="32"/>
  <c r="L52" i="32" s="1"/>
  <c r="M45" i="32"/>
  <c r="L45" i="32" s="1"/>
  <c r="M32" i="32"/>
  <c r="L32" i="32" s="1"/>
  <c r="M35" i="32"/>
  <c r="L35" i="32" s="1"/>
  <c r="M49" i="32"/>
  <c r="L49" i="32" s="1"/>
  <c r="M44" i="32"/>
  <c r="L44" i="32" s="1"/>
  <c r="M17" i="32"/>
  <c r="L17" i="32" s="1"/>
  <c r="M42" i="32"/>
  <c r="L42" i="32" s="1"/>
  <c r="M39" i="32"/>
  <c r="L39" i="32" s="1"/>
  <c r="M48" i="32"/>
  <c r="L48" i="32" s="1"/>
  <c r="M46" i="32"/>
  <c r="L46" i="32" s="1"/>
  <c r="M43" i="32"/>
  <c r="L43" i="32" s="1"/>
  <c r="M33" i="32"/>
  <c r="L33" i="32" s="1"/>
  <c r="M41" i="32"/>
  <c r="L41" i="32" s="1"/>
  <c r="M37" i="32"/>
  <c r="L37" i="32" s="1"/>
  <c r="M30" i="32"/>
  <c r="L30" i="32" s="1"/>
  <c r="M38" i="32"/>
  <c r="L38" i="32" s="1"/>
  <c r="M22" i="32"/>
  <c r="G7" i="3" s="1"/>
  <c r="M27" i="32"/>
  <c r="L27" i="32" s="1"/>
  <c r="M8" i="32"/>
  <c r="L8" i="32" s="1"/>
  <c r="M18" i="32"/>
  <c r="G10" i="3" s="1"/>
  <c r="M13" i="32"/>
  <c r="L13" i="32" s="1"/>
  <c r="M15" i="32"/>
  <c r="L15" i="32" s="1"/>
  <c r="M23" i="32"/>
  <c r="L23" i="32" s="1"/>
  <c r="M12" i="32"/>
  <c r="M21" i="32"/>
  <c r="L21" i="32" s="1"/>
  <c r="M16" i="32"/>
  <c r="L16" i="32" s="1"/>
  <c r="M20" i="32"/>
  <c r="L20" i="32" s="1"/>
  <c r="M10" i="32"/>
  <c r="L10" i="32" s="1"/>
  <c r="M11" i="32"/>
  <c r="L11" i="32" s="1"/>
  <c r="M9" i="32"/>
  <c r="L9" i="32" s="1"/>
  <c r="M5" i="32"/>
  <c r="M7" i="32"/>
  <c r="K4" i="32"/>
  <c r="E18" i="3" s="1"/>
  <c r="K3" i="32"/>
  <c r="E8" i="3" s="1"/>
  <c r="I9" i="3" l="1"/>
  <c r="N9" i="3" s="1"/>
  <c r="B173" i="48" s="1"/>
  <c r="I7" i="3"/>
  <c r="I10" i="3"/>
  <c r="N10" i="3" s="1"/>
  <c r="B174" i="48" s="1"/>
  <c r="I13" i="3"/>
  <c r="N13" i="3" s="1"/>
  <c r="B177" i="48" s="1"/>
  <c r="L14" i="32"/>
  <c r="L7" i="32"/>
  <c r="G11" i="3"/>
  <c r="L24" i="32"/>
  <c r="G19" i="3"/>
  <c r="L56" i="32"/>
  <c r="G21" i="3"/>
  <c r="L5" i="32"/>
  <c r="G15" i="3"/>
  <c r="L18" i="32"/>
  <c r="L22" i="32"/>
  <c r="L25" i="32"/>
  <c r="G12" i="3"/>
  <c r="L26" i="32"/>
  <c r="L68" i="32"/>
  <c r="G23" i="3"/>
  <c r="L69" i="32"/>
  <c r="G22" i="3"/>
  <c r="L91" i="32"/>
  <c r="G16" i="3"/>
  <c r="L6" i="32"/>
  <c r="G17" i="3"/>
  <c r="L12" i="32"/>
  <c r="G14" i="3"/>
  <c r="L28" i="32"/>
  <c r="G20" i="3"/>
  <c r="M4" i="32"/>
  <c r="M3" i="32"/>
  <c r="N7" i="3" l="1"/>
  <c r="B171" i="48" s="1"/>
  <c r="H16" i="3"/>
  <c r="I20" i="3"/>
  <c r="N20" i="3" s="1"/>
  <c r="B184" i="48" s="1"/>
  <c r="I12" i="3"/>
  <c r="N12" i="3" s="1"/>
  <c r="B176" i="48" s="1"/>
  <c r="I15" i="3"/>
  <c r="N15" i="3" s="1"/>
  <c r="B179" i="48" s="1"/>
  <c r="I21" i="3"/>
  <c r="N21" i="3" s="1"/>
  <c r="B185" i="48" s="1"/>
  <c r="I14" i="3"/>
  <c r="N14" i="3" s="1"/>
  <c r="B178" i="48" s="1"/>
  <c r="I17" i="3"/>
  <c r="N17" i="3" s="1"/>
  <c r="B181" i="48" s="1"/>
  <c r="I16" i="3"/>
  <c r="N16" i="3" s="1"/>
  <c r="B180" i="48" s="1"/>
  <c r="I22" i="3"/>
  <c r="N22" i="3" s="1"/>
  <c r="B186" i="48" s="1"/>
  <c r="I23" i="3"/>
  <c r="N23" i="3" s="1"/>
  <c r="B187" i="48" s="1"/>
  <c r="I19" i="3"/>
  <c r="N19" i="3" s="1"/>
  <c r="B183" i="48" s="1"/>
  <c r="I11" i="3"/>
  <c r="N11" i="3" s="1"/>
  <c r="B175" i="48" s="1"/>
  <c r="L3" i="32"/>
  <c r="G8" i="3"/>
  <c r="L4" i="32"/>
  <c r="G18" i="3"/>
  <c r="I18" i="3" l="1"/>
  <c r="N18" i="3" s="1"/>
  <c r="B182" i="48" s="1"/>
  <c r="I8" i="3"/>
  <c r="I4" i="3" s="1"/>
  <c r="N8" i="3" l="1"/>
  <c r="B172" i="48" s="1"/>
  <c r="F22" i="3"/>
  <c r="F10" i="3"/>
  <c r="F20" i="3"/>
  <c r="F7" i="3"/>
  <c r="F14" i="3"/>
  <c r="F21" i="3"/>
  <c r="F13" i="3"/>
  <c r="F9" i="3"/>
  <c r="F19" i="3"/>
  <c r="F17" i="3"/>
  <c r="F15" i="3"/>
  <c r="F18" i="3"/>
  <c r="F11" i="3"/>
  <c r="F12" i="3"/>
  <c r="F8" i="3"/>
  <c r="J15" i="3" l="1"/>
  <c r="K15" i="3" s="1"/>
  <c r="H15" i="3"/>
  <c r="J19" i="3"/>
  <c r="L19" i="3" s="1"/>
  <c r="H19" i="3"/>
  <c r="J13" i="3"/>
  <c r="K13" i="3" s="1"/>
  <c r="H13" i="3"/>
  <c r="J14" i="3"/>
  <c r="L14" i="3" s="1"/>
  <c r="H14" i="3"/>
  <c r="J20" i="3"/>
  <c r="K20" i="3" s="1"/>
  <c r="H20" i="3"/>
  <c r="J22" i="3"/>
  <c r="L22" i="3" s="1"/>
  <c r="H22" i="3"/>
  <c r="J8" i="3"/>
  <c r="L8" i="3" s="1"/>
  <c r="H8" i="3"/>
  <c r="J11" i="3"/>
  <c r="L11" i="3" s="1"/>
  <c r="H11" i="3"/>
  <c r="J12" i="3"/>
  <c r="L12" i="3" s="1"/>
  <c r="H12" i="3"/>
  <c r="J18" i="3"/>
  <c r="L18" i="3" s="1"/>
  <c r="H18" i="3"/>
  <c r="J17" i="3"/>
  <c r="L17" i="3" s="1"/>
  <c r="H17" i="3"/>
  <c r="J9" i="3"/>
  <c r="L9" i="3" s="1"/>
  <c r="H9" i="3"/>
  <c r="J21" i="3"/>
  <c r="L21" i="3" s="1"/>
  <c r="H21" i="3"/>
  <c r="J7" i="3"/>
  <c r="H7" i="3"/>
  <c r="J10" i="3"/>
  <c r="L10" i="3" s="1"/>
  <c r="H10" i="3"/>
  <c r="J23" i="3"/>
  <c r="L23" i="3" s="1"/>
  <c r="H23" i="3"/>
  <c r="K7" i="3"/>
  <c r="K16" i="3"/>
  <c r="L16" i="3"/>
  <c r="J4" i="3" l="1"/>
  <c r="M30" i="3" s="1"/>
  <c r="L7" i="3"/>
  <c r="K22" i="3"/>
  <c r="K23" i="3"/>
  <c r="L20" i="3"/>
  <c r="K14" i="3"/>
  <c r="K11" i="3"/>
  <c r="K10" i="3"/>
  <c r="L15" i="3"/>
  <c r="K18" i="3"/>
  <c r="K12" i="3"/>
  <c r="K17" i="3"/>
  <c r="K21" i="3"/>
  <c r="K9" i="3"/>
  <c r="K8" i="3"/>
  <c r="L13" i="3"/>
  <c r="K19" i="3"/>
  <c r="L3" i="3" l="1"/>
  <c r="M7" i="3"/>
  <c r="L4" i="3"/>
  <c r="M18" i="3"/>
  <c r="M19" i="3"/>
  <c r="M9" i="3"/>
  <c r="M23" i="3"/>
  <c r="M15" i="3"/>
  <c r="M16" i="3"/>
  <c r="M22" i="3"/>
  <c r="M12" i="3"/>
  <c r="M26" i="3"/>
  <c r="M29" i="3"/>
  <c r="M25" i="3"/>
  <c r="K4" i="3"/>
  <c r="M11" i="3"/>
  <c r="M13" i="3"/>
  <c r="M8" i="3"/>
  <c r="M17" i="3"/>
  <c r="M14" i="3"/>
  <c r="M20" i="3"/>
  <c r="M10" i="3"/>
  <c r="M21" i="3"/>
  <c r="M27" i="3"/>
  <c r="M24" i="3"/>
  <c r="M2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tc={24968DD5-C429-4C2A-987A-DF834BD8014B}</author>
  </authors>
  <commentList>
    <comment ref="B169" authorId="0" shapeId="0" xr:uid="{24968DD5-C429-4C2A-987A-DF834BD8014B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CAMPOS DE IMPOSTO DE RENDA AINDA EM CONSTRUÇÃO</t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52848E7-B9F1-47BA-A723-555013FE9DFB}" keepAlive="1" name="Consulta - Table 0" description="Conexão com a consulta 'Table 0' na pasta de trabalho." type="5" refreshedVersion="0" background="1">
    <dbPr connection="Provider=Microsoft.Mashup.OleDb.1;Data Source=$Workbook$;Location=&quot;Table 0&quot;;Extended Properties=&quot;&quot;" command="SELECT * FROM [Table 0]"/>
  </connection>
  <connection id="2" xr16:uid="{0A55BE45-29F1-42C0-91F0-2B085DAE855E}" keepAlive="1" name="Consulta - Table 0 (2)" description="Conexão com a consulta 'Table 0 (2)' na pasta de trabalho." type="5" refreshedVersion="7" background="1" saveData="1">
    <dbPr connection="Provider=Microsoft.Mashup.OleDb.1;Data Source=$Workbook$;Location=&quot;Table 0 (2)&quot;;Extended Properties=&quot;&quot;" command="SELECT * FROM [Table 0 (2)]"/>
  </connection>
  <connection id="3" xr16:uid="{997E6194-99D4-4A4B-8274-1F710D6C5443}" keepAlive="1" name="Consulta - Table 0 (3)" description="Conexão com a consulta 'Table 0 (3)' na pasta de trabalho." type="5" refreshedVersion="7" minRefreshableVersion="3" background="1" saveData="1">
    <dbPr connection="Provider=Microsoft.Mashup.OleDb.1;Data Source=$Workbook$;Location=&quot;Table 0 (3)&quot;;Extended Properties=&quot;&quot;" command="SELECT * FROM [Table 0 (3)]"/>
  </connection>
  <connection id="4" xr16:uid="{1C848DEA-D51C-4FA4-8A6B-B954377BAB81}" keepAlive="1" name="Consulta - Table 0 (4)" description="Conexão com a consulta 'Table 0 (4)' na pasta de trabalho." type="5" refreshedVersion="0" background="1">
    <dbPr connection="Provider=Microsoft.Mashup.OleDb.1;Data Source=$Workbook$;Location=&quot;Table 0 (4)&quot;;Extended Properties=&quot;&quot;" command="SELECT * FROM [Table 0 (4)]"/>
  </connection>
</connections>
</file>

<file path=xl/sharedStrings.xml><?xml version="1.0" encoding="utf-8"?>
<sst xmlns="http://schemas.openxmlformats.org/spreadsheetml/2006/main" count="8252" uniqueCount="3105">
  <si>
    <t>SUBSETOR</t>
  </si>
  <si>
    <t>ABCP11</t>
  </si>
  <si>
    <t>AFCR11</t>
  </si>
  <si>
    <t>ALMI11</t>
  </si>
  <si>
    <t>ALZR11</t>
  </si>
  <si>
    <t>ARCT11</t>
  </si>
  <si>
    <t>ARRI11</t>
  </si>
  <si>
    <t>ATSA11</t>
  </si>
  <si>
    <t>BARI11</t>
  </si>
  <si>
    <t>BBFI11B</t>
  </si>
  <si>
    <t>BBPO11</t>
  </si>
  <si>
    <t>BBRC11</t>
  </si>
  <si>
    <t>BCFF11</t>
  </si>
  <si>
    <t>BCIA11</t>
  </si>
  <si>
    <t>BCRI11</t>
  </si>
  <si>
    <t>BICR11</t>
  </si>
  <si>
    <t>BNFS11</t>
  </si>
  <si>
    <t>BPFF11</t>
  </si>
  <si>
    <t>BPML11</t>
  </si>
  <si>
    <t>BRCO11</t>
  </si>
  <si>
    <t>BRCR11</t>
  </si>
  <si>
    <t>BTCR11</t>
  </si>
  <si>
    <t>BTLG11</t>
  </si>
  <si>
    <t>BZLI11</t>
  </si>
  <si>
    <t>CARE11</t>
  </si>
  <si>
    <t>CBOP11</t>
  </si>
  <si>
    <t>CEOC11</t>
  </si>
  <si>
    <t>CNES11</t>
  </si>
  <si>
    <t>CPFF11</t>
  </si>
  <si>
    <t>CPTS11</t>
  </si>
  <si>
    <t>CRFF11</t>
  </si>
  <si>
    <t>CTXT11</t>
  </si>
  <si>
    <t>CVBI11</t>
  </si>
  <si>
    <t>CXRI11</t>
  </si>
  <si>
    <t>CXTL11</t>
  </si>
  <si>
    <t>DOMC11</t>
  </si>
  <si>
    <t>DRIT11B</t>
  </si>
  <si>
    <t>EDFO11B</t>
  </si>
  <si>
    <t>EDGA11</t>
  </si>
  <si>
    <t>EURO11</t>
  </si>
  <si>
    <t>FAED11</t>
  </si>
  <si>
    <t>FAMB11B</t>
  </si>
  <si>
    <t>FCFL11</t>
  </si>
  <si>
    <t>FEXC11</t>
  </si>
  <si>
    <t>FIGS11</t>
  </si>
  <si>
    <t>FIIB11</t>
  </si>
  <si>
    <t>FIIP11B</t>
  </si>
  <si>
    <t>FIVN11</t>
  </si>
  <si>
    <t>FLMA11</t>
  </si>
  <si>
    <t>FLRP11</t>
  </si>
  <si>
    <t>FPAB11</t>
  </si>
  <si>
    <t>FVPQ11</t>
  </si>
  <si>
    <t>GGRC11</t>
  </si>
  <si>
    <t>GSFI11</t>
  </si>
  <si>
    <t>GTWR11</t>
  </si>
  <si>
    <t>HABT11</t>
  </si>
  <si>
    <t>HBRH11</t>
  </si>
  <si>
    <t>HCTR11</t>
  </si>
  <si>
    <t>HFOF11</t>
  </si>
  <si>
    <t>HGBS11</t>
  </si>
  <si>
    <t>HGCR11</t>
  </si>
  <si>
    <t>HGFF11</t>
  </si>
  <si>
    <t>HGLG11</t>
  </si>
  <si>
    <t>HGPO11</t>
  </si>
  <si>
    <t>HGRE11</t>
  </si>
  <si>
    <t>HGRU11</t>
  </si>
  <si>
    <t>HLOG11</t>
  </si>
  <si>
    <t>HPDP11</t>
  </si>
  <si>
    <t>HSML11</t>
  </si>
  <si>
    <t>HTMX11</t>
  </si>
  <si>
    <t>HUSC11</t>
  </si>
  <si>
    <t>IBFF11</t>
  </si>
  <si>
    <t>IRDM11</t>
  </si>
  <si>
    <t>JPPA11</t>
  </si>
  <si>
    <t>JRDM11</t>
  </si>
  <si>
    <t>JSRE11</t>
  </si>
  <si>
    <t>KFOF11</t>
  </si>
  <si>
    <t>KNCR11</t>
  </si>
  <si>
    <t>KNHY11</t>
  </si>
  <si>
    <t>KNIP11</t>
  </si>
  <si>
    <t>KNRI11</t>
  </si>
  <si>
    <t>LASC11</t>
  </si>
  <si>
    <t>LGCP11</t>
  </si>
  <si>
    <t>LUGG11</t>
  </si>
  <si>
    <t>LVBI11</t>
  </si>
  <si>
    <t>MALL11</t>
  </si>
  <si>
    <t>MAXR11</t>
  </si>
  <si>
    <t>MBRF11</t>
  </si>
  <si>
    <t>MCCI11</t>
  </si>
  <si>
    <t>MFAI11</t>
  </si>
  <si>
    <t>MFII11</t>
  </si>
  <si>
    <t>MGFF11</t>
  </si>
  <si>
    <t>MGHT11</t>
  </si>
  <si>
    <t>MORE11</t>
  </si>
  <si>
    <t>MXRF11</t>
  </si>
  <si>
    <t>NEWL11</t>
  </si>
  <si>
    <t>NEWU11</t>
  </si>
  <si>
    <t>NSLU11</t>
  </si>
  <si>
    <t>NVHO11</t>
  </si>
  <si>
    <t>NVIF11B</t>
  </si>
  <si>
    <t>ONEF11</t>
  </si>
  <si>
    <t>OUFF11</t>
  </si>
  <si>
    <t>OUJP11</t>
  </si>
  <si>
    <t>OULG11</t>
  </si>
  <si>
    <t>PABY11</t>
  </si>
  <si>
    <t>PATC11</t>
  </si>
  <si>
    <t>PATL11</t>
  </si>
  <si>
    <t>PLCR11</t>
  </si>
  <si>
    <t>PLRI11</t>
  </si>
  <si>
    <t>PORD11</t>
  </si>
  <si>
    <t>PQDP11</t>
  </si>
  <si>
    <t>PRSV11</t>
  </si>
  <si>
    <t>QAGR11</t>
  </si>
  <si>
    <t>RBCO11</t>
  </si>
  <si>
    <t>RBDS11</t>
  </si>
  <si>
    <t>RBED11</t>
  </si>
  <si>
    <t>RBFF11</t>
  </si>
  <si>
    <t>RBGS11</t>
  </si>
  <si>
    <t>RBRD11</t>
  </si>
  <si>
    <t>RBRF11</t>
  </si>
  <si>
    <t>RBRL11</t>
  </si>
  <si>
    <t>RBRP11</t>
  </si>
  <si>
    <t>RBRR11</t>
  </si>
  <si>
    <t>RBRY11</t>
  </si>
  <si>
    <t>RBVA11</t>
  </si>
  <si>
    <t>RBVO11</t>
  </si>
  <si>
    <t>RCRB11</t>
  </si>
  <si>
    <t>RDPD11</t>
  </si>
  <si>
    <t>RECR11</t>
  </si>
  <si>
    <t>RECT11</t>
  </si>
  <si>
    <t>RFOF11</t>
  </si>
  <si>
    <t>RNDP11</t>
  </si>
  <si>
    <t>RNGO11</t>
  </si>
  <si>
    <t>RVBI11</t>
  </si>
  <si>
    <t>SADI11</t>
  </si>
  <si>
    <t>SARE11</t>
  </si>
  <si>
    <t>SCPF11</t>
  </si>
  <si>
    <t>SDIL11</t>
  </si>
  <si>
    <t>SHPH11</t>
  </si>
  <si>
    <t>SPTW11</t>
  </si>
  <si>
    <t>SPVJ11</t>
  </si>
  <si>
    <t>TEPP11</t>
  </si>
  <si>
    <t>TGAR11</t>
  </si>
  <si>
    <t>TORD11</t>
  </si>
  <si>
    <t>TRNT11</t>
  </si>
  <si>
    <t>TRXF11</t>
  </si>
  <si>
    <t>VCJR11</t>
  </si>
  <si>
    <t>VGIP11</t>
  </si>
  <si>
    <t>VGIR11</t>
  </si>
  <si>
    <t>VIFI11</t>
  </si>
  <si>
    <t>VILG11</t>
  </si>
  <si>
    <t>VINO11</t>
  </si>
  <si>
    <t>VISC11</t>
  </si>
  <si>
    <t>VLOL11</t>
  </si>
  <si>
    <t>VOTS11</t>
  </si>
  <si>
    <t>VRTA11</t>
  </si>
  <si>
    <t>VSHO11</t>
  </si>
  <si>
    <t>VTLT11</t>
  </si>
  <si>
    <t>VVPR11</t>
  </si>
  <si>
    <t>WPLZ11</t>
  </si>
  <si>
    <t>WTSP11B</t>
  </si>
  <si>
    <t>XPCI11</t>
  </si>
  <si>
    <t>XPCM11</t>
  </si>
  <si>
    <t>XPHT11</t>
  </si>
  <si>
    <t>XPIN11</t>
  </si>
  <si>
    <t>XPLG11</t>
  </si>
  <si>
    <t>XPML11</t>
  </si>
  <si>
    <t>XPPR11</t>
  </si>
  <si>
    <t>XPSF11</t>
  </si>
  <si>
    <t>XTED11</t>
  </si>
  <si>
    <t>ATIVO</t>
  </si>
  <si>
    <t>FATN11</t>
  </si>
  <si>
    <t>GCFF11</t>
  </si>
  <si>
    <t>HOSI11</t>
  </si>
  <si>
    <t>PQAG11</t>
  </si>
  <si>
    <t>PVBI11</t>
  </si>
  <si>
    <t>URPR11</t>
  </si>
  <si>
    <t>IFIE11</t>
  </si>
  <si>
    <t>RZTR11</t>
  </si>
  <si>
    <t>MGCR11</t>
  </si>
  <si>
    <t>BREV11</t>
  </si>
  <si>
    <t>BLCP11</t>
  </si>
  <si>
    <t>AIEC11</t>
  </si>
  <si>
    <t>GALG11</t>
  </si>
  <si>
    <t>HREC11</t>
  </si>
  <si>
    <t>BMLC11</t>
  </si>
  <si>
    <t>BRLA11</t>
  </si>
  <si>
    <t>KNSC11</t>
  </si>
  <si>
    <t>STRX11</t>
  </si>
  <si>
    <t>RELG11</t>
  </si>
  <si>
    <t>OURE11</t>
  </si>
  <si>
    <t>HSAF11</t>
  </si>
  <si>
    <t>DEVA11</t>
  </si>
  <si>
    <t>HSLG11</t>
  </si>
  <si>
    <t>HSRE11</t>
  </si>
  <si>
    <t>KISU11</t>
  </si>
  <si>
    <t>RBRS11</t>
  </si>
  <si>
    <t>AFHI11</t>
  </si>
  <si>
    <t>AFOF11</t>
  </si>
  <si>
    <t>BBFO11</t>
  </si>
  <si>
    <t>BBIM11</t>
  </si>
  <si>
    <t>BLMC11</t>
  </si>
  <si>
    <t>BLMG11</t>
  </si>
  <si>
    <t>BLMR11</t>
  </si>
  <si>
    <t>BTAL11</t>
  </si>
  <si>
    <t>BTRA11</t>
  </si>
  <si>
    <t>BTWR11</t>
  </si>
  <si>
    <t>CORM11</t>
  </si>
  <si>
    <t>CXCO11</t>
  </si>
  <si>
    <t>EQIN11</t>
  </si>
  <si>
    <t>ERCR11</t>
  </si>
  <si>
    <t>EVBI11</t>
  </si>
  <si>
    <t>FISC11</t>
  </si>
  <si>
    <t>FLCR11</t>
  </si>
  <si>
    <t>GCRI11</t>
  </si>
  <si>
    <t>GESE11B</t>
  </si>
  <si>
    <t>HAAA11</t>
  </si>
  <si>
    <t>HCHG11</t>
  </si>
  <si>
    <t>HGIC11</t>
  </si>
  <si>
    <t>IFID11</t>
  </si>
  <si>
    <t>JFLL11</t>
  </si>
  <si>
    <t>MCHY11</t>
  </si>
  <si>
    <t>MGLG11</t>
  </si>
  <si>
    <t>NAVT11</t>
  </si>
  <si>
    <t>PLOG11</t>
  </si>
  <si>
    <t>QIRI11</t>
  </si>
  <si>
    <t>RBHY11</t>
  </si>
  <si>
    <t>RBIR11</t>
  </si>
  <si>
    <t>RBLG11</t>
  </si>
  <si>
    <t>RECX11</t>
  </si>
  <si>
    <t>RRCI11</t>
  </si>
  <si>
    <t>RZAK11</t>
  </si>
  <si>
    <t>SEQR11</t>
  </si>
  <si>
    <t>SNFF11</t>
  </si>
  <si>
    <t>VCRR11</t>
  </si>
  <si>
    <t>VGHF11</t>
  </si>
  <si>
    <t>VIUR11</t>
  </si>
  <si>
    <t>VSLH11</t>
  </si>
  <si>
    <t>YUFI11B</t>
  </si>
  <si>
    <t>CJCT11</t>
  </si>
  <si>
    <t>CXCE11B</t>
  </si>
  <si>
    <t>DMAC11</t>
  </si>
  <si>
    <t>FMOF11</t>
  </si>
  <si>
    <t>HCRI11</t>
  </si>
  <si>
    <t>HRDF11</t>
  </si>
  <si>
    <t>KINP11</t>
  </si>
  <si>
    <t>KNRE11</t>
  </si>
  <si>
    <t>LFTT11</t>
  </si>
  <si>
    <t>ORPD11</t>
  </si>
  <si>
    <t>VXXV11</t>
  </si>
  <si>
    <t>RBHG11</t>
  </si>
  <si>
    <t>Column1</t>
  </si>
  <si>
    <t>Column2</t>
  </si>
  <si>
    <t>Column3</t>
  </si>
  <si>
    <t>Column4</t>
  </si>
  <si>
    <t>Column5</t>
  </si>
  <si>
    <t/>
  </si>
  <si>
    <t>papel</t>
  </si>
  <si>
    <t>valor</t>
  </si>
  <si>
    <t>nome</t>
  </si>
  <si>
    <t>BBDC4</t>
  </si>
  <si>
    <t>Banco Bradesco SA Preference Shares</t>
  </si>
  <si>
    <t>TRPL4</t>
  </si>
  <si>
    <t>CTEEP Cia Transm Energia Eletr Paulista Preference Shares</t>
  </si>
  <si>
    <t>SANB4</t>
  </si>
  <si>
    <t>Banco Santander Brasil SA Preference Shares</t>
  </si>
  <si>
    <t>CMIG3</t>
  </si>
  <si>
    <t>SBSP3</t>
  </si>
  <si>
    <t>Companhia de Saneamento Bsc DEDSP Sbsp</t>
  </si>
  <si>
    <t>IRBR3</t>
  </si>
  <si>
    <t>IRB Brasil Resseguros SA</t>
  </si>
  <si>
    <t>SHUL4</t>
  </si>
  <si>
    <t>Schulz SA Preference Shares</t>
  </si>
  <si>
    <t>CEAB3</t>
  </si>
  <si>
    <t>C&amp;A Modas SA</t>
  </si>
  <si>
    <t>ITSA4</t>
  </si>
  <si>
    <t>Itausa SA Preference Shares</t>
  </si>
  <si>
    <t>TAEE4</t>
  </si>
  <si>
    <t>Transmissora Alianca Energia Eletrica SA Preference Shares</t>
  </si>
  <si>
    <t>EMBR3</t>
  </si>
  <si>
    <t>Embraer SA</t>
  </si>
  <si>
    <t>MEAL3</t>
  </si>
  <si>
    <t>International Meal Company Alimentcao SA</t>
  </si>
  <si>
    <t>LLIS3</t>
  </si>
  <si>
    <t>Restoque Comercio e Confecos de Roups SA</t>
  </si>
  <si>
    <t>MDNE3</t>
  </si>
  <si>
    <t>Moura Dubeux Engenharia S.A.</t>
  </si>
  <si>
    <t>SAPR3</t>
  </si>
  <si>
    <t>Companhia de Saneamento Parana SANEPAR</t>
  </si>
  <si>
    <t>BBAS3</t>
  </si>
  <si>
    <t>Banco do Brasil SA</t>
  </si>
  <si>
    <t>WHRL4</t>
  </si>
  <si>
    <t>Whirlpool SA Preference Shares</t>
  </si>
  <si>
    <t>GFSA3</t>
  </si>
  <si>
    <t>Gafisa SA</t>
  </si>
  <si>
    <t>OIBR3</t>
  </si>
  <si>
    <t>Oi SA em Recuperacao Judicial</t>
  </si>
  <si>
    <t>POSI3</t>
  </si>
  <si>
    <t>Positivo Tecnologia SA</t>
  </si>
  <si>
    <t>STBP3</t>
  </si>
  <si>
    <t>Santos Brasil Participacoes SA</t>
  </si>
  <si>
    <t>TIET3</t>
  </si>
  <si>
    <t>#N/D</t>
  </si>
  <si>
    <t>FHER3</t>
  </si>
  <si>
    <t>Fertilizantes Heringer SA</t>
  </si>
  <si>
    <t>HBOR3</t>
  </si>
  <si>
    <t>Helbor Empreendimentos SA</t>
  </si>
  <si>
    <t>DMMO3</t>
  </si>
  <si>
    <t>Dommo Energia SA</t>
  </si>
  <si>
    <t>MAGG3</t>
  </si>
  <si>
    <t>APER3</t>
  </si>
  <si>
    <t>Alper Consultoria e Corretora deSegursSA</t>
  </si>
  <si>
    <t>BNCA3</t>
  </si>
  <si>
    <t>BBTG12</t>
  </si>
  <si>
    <t>AMIL3</t>
  </si>
  <si>
    <t>BRTP3</t>
  </si>
  <si>
    <t>MGEL3</t>
  </si>
  <si>
    <t>R$ 0,00</t>
  </si>
  <si>
    <t>Mangels Industrial SA</t>
  </si>
  <si>
    <t>JBSS3</t>
  </si>
  <si>
    <t>JBS SA</t>
  </si>
  <si>
    <t>PRNR3</t>
  </si>
  <si>
    <t>Priner Servicos Industriais SA</t>
  </si>
  <si>
    <t>PEFX3</t>
  </si>
  <si>
    <t>PEFX5</t>
  </si>
  <si>
    <t>TOYB4</t>
  </si>
  <si>
    <t>IMBI3</t>
  </si>
  <si>
    <t>CLAN4</t>
  </si>
  <si>
    <t>ETER3</t>
  </si>
  <si>
    <t>TOYB3</t>
  </si>
  <si>
    <t>EBTP3</t>
  </si>
  <si>
    <t>ALPK3</t>
  </si>
  <si>
    <t>Allpark Empreendimentos Prtcpcs Srvcs SA</t>
  </si>
  <si>
    <t>EBTP4</t>
  </si>
  <si>
    <t>ECOR3</t>
  </si>
  <si>
    <t>Ecorodovias Infraestrutura e Logistic SA</t>
  </si>
  <si>
    <t>GOLL4</t>
  </si>
  <si>
    <t>FBRA4</t>
  </si>
  <si>
    <t>MOAR3</t>
  </si>
  <si>
    <t>Monteiro Aranha SA</t>
  </si>
  <si>
    <t>BRTP4</t>
  </si>
  <si>
    <t>MILS3</t>
  </si>
  <si>
    <t>USIM6</t>
  </si>
  <si>
    <t>Usinas Siderurgicas de Minas Gerais Pref Shs</t>
  </si>
  <si>
    <t>ANIM3</t>
  </si>
  <si>
    <t>Anima Holding SA</t>
  </si>
  <si>
    <t>ITEC3</t>
  </si>
  <si>
    <t>IMBI4</t>
  </si>
  <si>
    <t>PRTX3</t>
  </si>
  <si>
    <t>RCSL4</t>
  </si>
  <si>
    <t>Recrusul SA Preference Shares</t>
  </si>
  <si>
    <t>DFVA3</t>
  </si>
  <si>
    <t>ASTA4</t>
  </si>
  <si>
    <t>VGOR4</t>
  </si>
  <si>
    <t>CRBM3</t>
  </si>
  <si>
    <t>GLOB4</t>
  </si>
  <si>
    <t>TCNO3</t>
  </si>
  <si>
    <t>Tecnosolo Engenharia SA</t>
  </si>
  <si>
    <t>USIM3</t>
  </si>
  <si>
    <t>Usinas Siderurgicas de Mins Grs SA USMNS</t>
  </si>
  <si>
    <t>DFVA4</t>
  </si>
  <si>
    <t>USIM5</t>
  </si>
  <si>
    <t>Usinas Siderurgicas de Minas Gerais A Pref Shs</t>
  </si>
  <si>
    <t>TAMM4</t>
  </si>
  <si>
    <t>BIOM3</t>
  </si>
  <si>
    <t>Biomm SA</t>
  </si>
  <si>
    <t>TAMM3</t>
  </si>
  <si>
    <t>PETR3</t>
  </si>
  <si>
    <t>Petroleo Brasileiro SA Petrobras</t>
  </si>
  <si>
    <t>TELB3</t>
  </si>
  <si>
    <t>Telecomunicacoes Brasileiras SA TELEBRAS</t>
  </si>
  <si>
    <t>TCNO4</t>
  </si>
  <si>
    <t>Tecnosolo Engenharia SA Preference Shares</t>
  </si>
  <si>
    <t>PETR4</t>
  </si>
  <si>
    <t>Petroleo Brasileiro SA Petrobras Preference Shares</t>
  </si>
  <si>
    <t>RANI4</t>
  </si>
  <si>
    <t>CRBM7</t>
  </si>
  <si>
    <t>WMBY3</t>
  </si>
  <si>
    <t>IDVL4</t>
  </si>
  <si>
    <t>TDBH4</t>
  </si>
  <si>
    <t>TANC4</t>
  </si>
  <si>
    <t>AMAR3</t>
  </si>
  <si>
    <t>Marisa Lojas SA</t>
  </si>
  <si>
    <t>CCIM3</t>
  </si>
  <si>
    <t>IDVL3</t>
  </si>
  <si>
    <t>LOGN3</t>
  </si>
  <si>
    <t>Log-in Logistica Intermodal SA</t>
  </si>
  <si>
    <t>MGEL4</t>
  </si>
  <si>
    <t>Mangels Industrial SA Preference Shares</t>
  </si>
  <si>
    <t>LECO4</t>
  </si>
  <si>
    <t>SEDU3</t>
  </si>
  <si>
    <t>VVAR3</t>
  </si>
  <si>
    <t>IGUA3</t>
  </si>
  <si>
    <t>FGUI3</t>
  </si>
  <si>
    <t>IGUA6</t>
  </si>
  <si>
    <t>IGUA5</t>
  </si>
  <si>
    <t>PRVI3</t>
  </si>
  <si>
    <t>CPNY3</t>
  </si>
  <si>
    <t>BOBR4</t>
  </si>
  <si>
    <t>Bombril SA Preference Shares</t>
  </si>
  <si>
    <t>RANI3</t>
  </si>
  <si>
    <t>Irani Papel e Embalagem SA</t>
  </si>
  <si>
    <t>BAHI4</t>
  </si>
  <si>
    <t>SPRI6</t>
  </si>
  <si>
    <t>KLBN3</t>
  </si>
  <si>
    <t>Klabin SA</t>
  </si>
  <si>
    <t>KLBN11</t>
  </si>
  <si>
    <t>KLBN4</t>
  </si>
  <si>
    <t>Klabin SA Preference Shares</t>
  </si>
  <si>
    <t>MSPA4</t>
  </si>
  <si>
    <t>Companhia Melhoramentos de Sao Paulo Preference Shares</t>
  </si>
  <si>
    <t>BIOM4</t>
  </si>
  <si>
    <t>TERI3</t>
  </si>
  <si>
    <t>ECPR4</t>
  </si>
  <si>
    <t>BAHI3</t>
  </si>
  <si>
    <t>Bahema Educacao SA</t>
  </si>
  <si>
    <t>ECPR3</t>
  </si>
  <si>
    <t>BRKM3</t>
  </si>
  <si>
    <t>Braskem SA</t>
  </si>
  <si>
    <t>MSPA3</t>
  </si>
  <si>
    <t>Companhia Melhoramentos de Sao Paulo</t>
  </si>
  <si>
    <t>SEMP3</t>
  </si>
  <si>
    <t>BRKM5</t>
  </si>
  <si>
    <t>Braskem SA Preference Shares Series A</t>
  </si>
  <si>
    <t>SZPQ4</t>
  </si>
  <si>
    <t>BAHI5</t>
  </si>
  <si>
    <t>PLAS3</t>
  </si>
  <si>
    <t>Plascar Participacoes Industriais SA</t>
  </si>
  <si>
    <t>MEDI3</t>
  </si>
  <si>
    <t>BOBR3</t>
  </si>
  <si>
    <t>Bombril SA</t>
  </si>
  <si>
    <t>TELB4</t>
  </si>
  <si>
    <t>Telecomunicacoes Brasileiras SA TELEBRAS Preference Shares</t>
  </si>
  <si>
    <t>CTKA3</t>
  </si>
  <si>
    <t>Karsten SA</t>
  </si>
  <si>
    <t>CTKA4</t>
  </si>
  <si>
    <t>Karsten SA Preference Shares</t>
  </si>
  <si>
    <t>CRDE3</t>
  </si>
  <si>
    <t>CR2 Empreendimentos Imobiliarios SA</t>
  </si>
  <si>
    <t>BUET3</t>
  </si>
  <si>
    <t>CEDO3</t>
  </si>
  <si>
    <t>Cia De Fiacao E Tecidos Cedro Cachoeira</t>
  </si>
  <si>
    <t>BAHI11</t>
  </si>
  <si>
    <t>BRKM6</t>
  </si>
  <si>
    <t>Braskem SA Preference Shares Series B</t>
  </si>
  <si>
    <t>PINE4</t>
  </si>
  <si>
    <t>Banco Pine SA Preference Shares</t>
  </si>
  <si>
    <t>MNDL3</t>
  </si>
  <si>
    <t>Mundial SA Produtos de Consumo</t>
  </si>
  <si>
    <t>TLCP3</t>
  </si>
  <si>
    <t>LFFE4</t>
  </si>
  <si>
    <t>CGOS3</t>
  </si>
  <si>
    <t>SPRI3</t>
  </si>
  <si>
    <t>VVAR11</t>
  </si>
  <si>
    <t>VVAR4</t>
  </si>
  <si>
    <t>PRML3</t>
  </si>
  <si>
    <t>CTNM3</t>
  </si>
  <si>
    <t>Companhia de Tecidos Nrt d Mns COTEMINAS</t>
  </si>
  <si>
    <t>SJOS3</t>
  </si>
  <si>
    <t>BUET4</t>
  </si>
  <si>
    <t>SPRI5</t>
  </si>
  <si>
    <t>DTCY3</t>
  </si>
  <si>
    <t>Dtcom Direct to Company SA</t>
  </si>
  <si>
    <t>LFFE3</t>
  </si>
  <si>
    <t>FBMC3</t>
  </si>
  <si>
    <t>IGBR6</t>
  </si>
  <si>
    <t>IGBR5</t>
  </si>
  <si>
    <t>APTI4</t>
  </si>
  <si>
    <t>Siderurgica JL Aliperti SA Preference Shares</t>
  </si>
  <si>
    <t>BSEV3</t>
  </si>
  <si>
    <t>TLCP4</t>
  </si>
  <si>
    <t>SUZB3</t>
  </si>
  <si>
    <t>Suzano SA</t>
  </si>
  <si>
    <t>BECE3</t>
  </si>
  <si>
    <t>BECE4</t>
  </si>
  <si>
    <t>ADHM3</t>
  </si>
  <si>
    <t>CEDO4</t>
  </si>
  <si>
    <t>Cia De Fiacao E Tecidos Cedro Cachoeira Preference Shares</t>
  </si>
  <si>
    <t>PNOR5</t>
  </si>
  <si>
    <t>PNOR6</t>
  </si>
  <si>
    <t>CTNM4</t>
  </si>
  <si>
    <t>Companhia de Tecidos Nrt d Mns COTEMINAS Preference Shares</t>
  </si>
  <si>
    <t>LIXC3</t>
  </si>
  <si>
    <t>BICB4</t>
  </si>
  <si>
    <t>SHOW3</t>
  </si>
  <si>
    <t>T4f Entretenimento SA</t>
  </si>
  <si>
    <t>CALI3</t>
  </si>
  <si>
    <t>Construtora Adolpho Lindenberg SA</t>
  </si>
  <si>
    <t>BICB3</t>
  </si>
  <si>
    <t>ARLA4</t>
  </si>
  <si>
    <t>LIXC4</t>
  </si>
  <si>
    <t>OGXP3</t>
  </si>
  <si>
    <t>TESA3</t>
  </si>
  <si>
    <t>SUZB5</t>
  </si>
  <si>
    <t>ARCZ3</t>
  </si>
  <si>
    <t>ARCZ6</t>
  </si>
  <si>
    <t>BISA3</t>
  </si>
  <si>
    <t>TCSA3</t>
  </si>
  <si>
    <t>Tecnisa SA</t>
  </si>
  <si>
    <t>SUZB6</t>
  </si>
  <si>
    <t>ARLA3</t>
  </si>
  <si>
    <t>SDIA3</t>
  </si>
  <si>
    <t>SDIA4</t>
  </si>
  <si>
    <t>DUQE3</t>
  </si>
  <si>
    <t>GPIV33</t>
  </si>
  <si>
    <t>GP Investments Limited</t>
  </si>
  <si>
    <t>TPIS3</t>
  </si>
  <si>
    <t>TPI Triunfo Participacoes e Invest. SA</t>
  </si>
  <si>
    <t>CALI4</t>
  </si>
  <si>
    <t>R$ 50,00</t>
  </si>
  <si>
    <t>HBTS5</t>
  </si>
  <si>
    <t>Companhia Habitasul de Participacoes Preference Shares</t>
  </si>
  <si>
    <t>LGLO4</t>
  </si>
  <si>
    <t>MNPR4</t>
  </si>
  <si>
    <t>VTLM3</t>
  </si>
  <si>
    <t>PMAM3</t>
  </si>
  <si>
    <t>Paranapanema SA</t>
  </si>
  <si>
    <t>CORR4</t>
  </si>
  <si>
    <t>R$ 82,00</t>
  </si>
  <si>
    <t>Correa Ribeiro SA Comercio e Industria Preference Shares</t>
  </si>
  <si>
    <t>BBRK3</t>
  </si>
  <si>
    <t>DHBI3</t>
  </si>
  <si>
    <t>LETO5</t>
  </si>
  <si>
    <t>MNPR3</t>
  </si>
  <si>
    <t>Minupar Participacoes SA</t>
  </si>
  <si>
    <t>JBDU3</t>
  </si>
  <si>
    <t>CEED4</t>
  </si>
  <si>
    <t>Companhia Estadual de Distribuicao Preference Shares</t>
  </si>
  <si>
    <t>OIBR4</t>
  </si>
  <si>
    <t>Oi SA em Recuperacao Judicial Preference Shares</t>
  </si>
  <si>
    <t>TECN3</t>
  </si>
  <si>
    <t>Technos SA</t>
  </si>
  <si>
    <t>ESTR4</t>
  </si>
  <si>
    <t>Manufatura de Brinquedos Estrela SA Preference Shares</t>
  </si>
  <si>
    <t>RPMG3</t>
  </si>
  <si>
    <t>Refinaria de Petroleos d Mng S em Rcp Jd</t>
  </si>
  <si>
    <t>CEED3</t>
  </si>
  <si>
    <t>Companhia Estadual de Distribuicao</t>
  </si>
  <si>
    <t>JFEN3</t>
  </si>
  <si>
    <t>Joao Fortes Engenharia S.A.</t>
  </si>
  <si>
    <t>LATM11</t>
  </si>
  <si>
    <t>CELM3</t>
  </si>
  <si>
    <t>AZUL4</t>
  </si>
  <si>
    <t>Azul SA</t>
  </si>
  <si>
    <t>SUZA4</t>
  </si>
  <si>
    <t>LUPA3</t>
  </si>
  <si>
    <t>Lupatech SA</t>
  </si>
  <si>
    <t>IGBR3</t>
  </si>
  <si>
    <t>Igb Eletronica SA</t>
  </si>
  <si>
    <t>JBDU4</t>
  </si>
  <si>
    <t>REEM4</t>
  </si>
  <si>
    <t>CCXC3</t>
  </si>
  <si>
    <t>PMAM4</t>
  </si>
  <si>
    <t>DOCA3</t>
  </si>
  <si>
    <t>ESTR3</t>
  </si>
  <si>
    <t>R$ 40,00</t>
  </si>
  <si>
    <t>Manufatura de Brinquedos Estrela SA</t>
  </si>
  <si>
    <t>MWET3</t>
  </si>
  <si>
    <t>Wetzel SA</t>
  </si>
  <si>
    <t>BDLL3</t>
  </si>
  <si>
    <t>Bardella SA Industrias Mecanicas</t>
  </si>
  <si>
    <t>LETO3</t>
  </si>
  <si>
    <t>VIVR3</t>
  </si>
  <si>
    <t>Viver Incorporadora e Construtora SA</t>
  </si>
  <si>
    <t>HOOT4</t>
  </si>
  <si>
    <t>Hoteis Othon SA Preference Shares</t>
  </si>
  <si>
    <t>TENE7</t>
  </si>
  <si>
    <t>GSHP3</t>
  </si>
  <si>
    <t>General Shopping e Outlets do Brasil SA</t>
  </si>
  <si>
    <t>LIQO3</t>
  </si>
  <si>
    <t>RSID3</t>
  </si>
  <si>
    <t>Rossi Residencial SA</t>
  </si>
  <si>
    <t>MEND6</t>
  </si>
  <si>
    <t>DOCA4</t>
  </si>
  <si>
    <t>AZEV3</t>
  </si>
  <si>
    <t>Azevedo &amp; Travassos SA</t>
  </si>
  <si>
    <t>MWET4</t>
  </si>
  <si>
    <t>Wetzel SA Preference Shares</t>
  </si>
  <si>
    <t>DUQE4</t>
  </si>
  <si>
    <t>CORR3</t>
  </si>
  <si>
    <t>Correa Ribeiro SA Comercio e Industria</t>
  </si>
  <si>
    <t>AZEV4</t>
  </si>
  <si>
    <t>Azevedo &amp; Travassos SA Preference Shares</t>
  </si>
  <si>
    <t>MEND5</t>
  </si>
  <si>
    <t>SLED3</t>
  </si>
  <si>
    <t>Saraiva Livreiros SA em Recuperacao Jdcl</t>
  </si>
  <si>
    <t>INEP3</t>
  </si>
  <si>
    <t>Inepar SA Industria e Construcoes</t>
  </si>
  <si>
    <t>INEP4</t>
  </si>
  <si>
    <t>Inepar SA Industria e Construcoes Preference Shares</t>
  </si>
  <si>
    <t>RNEW3</t>
  </si>
  <si>
    <t>BDLL4</t>
  </si>
  <si>
    <t>Bardella SA Industrias Mecanicas Preference Shares</t>
  </si>
  <si>
    <t>FBMC4</t>
  </si>
  <si>
    <t>MMXM3</t>
  </si>
  <si>
    <t>R$ 14,00</t>
  </si>
  <si>
    <t>MMX Mineracao e Mtlcs SA Em Rcco Judcl</t>
  </si>
  <si>
    <t>RNEW11</t>
  </si>
  <si>
    <t>SNSY5</t>
  </si>
  <si>
    <t>Sansuy Industria de Plasticos A Pref Shs</t>
  </si>
  <si>
    <t>SLED4</t>
  </si>
  <si>
    <t>Saraiva Livreiros SA em Recuperacao Jdcl Preference Shares</t>
  </si>
  <si>
    <t>RNEW4</t>
  </si>
  <si>
    <t>VPTA4</t>
  </si>
  <si>
    <t>VPSC4</t>
  </si>
  <si>
    <t>VAGV3</t>
  </si>
  <si>
    <t>DHBI4</t>
  </si>
  <si>
    <t>VAGV4</t>
  </si>
  <si>
    <t>ARTE3</t>
  </si>
  <si>
    <t>TROR3</t>
  </si>
  <si>
    <t>PDGR3</t>
  </si>
  <si>
    <t>VPSC3</t>
  </si>
  <si>
    <t>VPTA3</t>
  </si>
  <si>
    <t>ARTE4</t>
  </si>
  <si>
    <t>TEKA3</t>
  </si>
  <si>
    <t>Teka Tecelagem Kuehnrich SA</t>
  </si>
  <si>
    <t>TEKA4</t>
  </si>
  <si>
    <t>Teka Tecelagem Kuehnrich SA Preference Shares</t>
  </si>
  <si>
    <t>TROR4</t>
  </si>
  <si>
    <t>OSXB3</t>
  </si>
  <si>
    <t>OSX BRASIL SA</t>
  </si>
  <si>
    <t>OSAO4</t>
  </si>
  <si>
    <t>RCTB33</t>
  </si>
  <si>
    <t>RCTB31</t>
  </si>
  <si>
    <t>RCTB41</t>
  </si>
  <si>
    <t>RCTB42</t>
  </si>
  <si>
    <t>CGOS4</t>
  </si>
  <si>
    <t>AGEI3</t>
  </si>
  <si>
    <t>ALBA3</t>
  </si>
  <si>
    <t>BBSE3</t>
  </si>
  <si>
    <t>BB Seguridade Participacoes SA</t>
  </si>
  <si>
    <t>BBTG11</t>
  </si>
  <si>
    <t>BERG3</t>
  </si>
  <si>
    <t>BMEF3</t>
  </si>
  <si>
    <t>BMGB11</t>
  </si>
  <si>
    <t>BMGB4</t>
  </si>
  <si>
    <t>Banco BMG Sa</t>
  </si>
  <si>
    <t>BOVH3</t>
  </si>
  <si>
    <t>BPAT33</t>
  </si>
  <si>
    <t>BSGR3</t>
  </si>
  <si>
    <t>CMMA4</t>
  </si>
  <si>
    <t>CPFP4</t>
  </si>
  <si>
    <t>CSAB3</t>
  </si>
  <si>
    <t>Companhia de Seguros Alianca da Bahia</t>
  </si>
  <si>
    <t>CSAB4</t>
  </si>
  <si>
    <t>Companhia de Seguros Alianca da Bahia Preference Shares</t>
  </si>
  <si>
    <t>CSPC3</t>
  </si>
  <si>
    <t>CSPC4</t>
  </si>
  <si>
    <t>ECIS3</t>
  </si>
  <si>
    <t>ECIS4</t>
  </si>
  <si>
    <t>ILLS4</t>
  </si>
  <si>
    <t>LATS3</t>
  </si>
  <si>
    <t>MSAN3</t>
  </si>
  <si>
    <t>MSAN4</t>
  </si>
  <si>
    <t>NTCO3</t>
  </si>
  <si>
    <t>Natura &amp; Co Holding SA</t>
  </si>
  <si>
    <t>PTIP3</t>
  </si>
  <si>
    <t>PTIP4</t>
  </si>
  <si>
    <t>REPA3</t>
  </si>
  <si>
    <t>REPA4</t>
  </si>
  <si>
    <t>SALM3</t>
  </si>
  <si>
    <t>SALM4</t>
  </si>
  <si>
    <t>SASG3</t>
  </si>
  <si>
    <t>SGEN3</t>
  </si>
  <si>
    <t>SLCP3</t>
  </si>
  <si>
    <t>TAEE11</t>
  </si>
  <si>
    <t>TAEE3</t>
  </si>
  <si>
    <t>Transmissora Alianca Energia Eletrica SA</t>
  </si>
  <si>
    <t>TNEP3</t>
  </si>
  <si>
    <t>TNEP4</t>
  </si>
  <si>
    <t>VIVA3</t>
  </si>
  <si>
    <t>Vivara Participacoes SA</t>
  </si>
  <si>
    <t>ENER5</t>
  </si>
  <si>
    <t>ENER3</t>
  </si>
  <si>
    <t>ENER6</t>
  </si>
  <si>
    <t>TEFC11</t>
  </si>
  <si>
    <t>CESP4</t>
  </si>
  <si>
    <t>SCAR4</t>
  </si>
  <si>
    <t>MLPA12</t>
  </si>
  <si>
    <t>MLPA4</t>
  </si>
  <si>
    <t>CAFE3</t>
  </si>
  <si>
    <t>BSCT3</t>
  </si>
  <si>
    <t>BRSR4</t>
  </si>
  <si>
    <t>TPRC6</t>
  </si>
  <si>
    <t>TPRC3</t>
  </si>
  <si>
    <t>LREN4</t>
  </si>
  <si>
    <t>MTIG3</t>
  </si>
  <si>
    <t>Metalgrafica Iguacu SA</t>
  </si>
  <si>
    <t>CREM4</t>
  </si>
  <si>
    <t>PALF11</t>
  </si>
  <si>
    <t>PALF5</t>
  </si>
  <si>
    <t>NUTR3</t>
  </si>
  <si>
    <t>Nutriplant Industria e Comercio SA</t>
  </si>
  <si>
    <t>PALF3</t>
  </si>
  <si>
    <t>ASSM4</t>
  </si>
  <si>
    <t>GAZO4</t>
  </si>
  <si>
    <t>ASSM3</t>
  </si>
  <si>
    <t>BELG4</t>
  </si>
  <si>
    <t>BELG3</t>
  </si>
  <si>
    <t>MMAQ4</t>
  </si>
  <si>
    <t>Minasmaquinas SA Preference Shares</t>
  </si>
  <si>
    <t>SCLO3</t>
  </si>
  <si>
    <t>TRPN3</t>
  </si>
  <si>
    <t>GAZO3</t>
  </si>
  <si>
    <t>FCAP4</t>
  </si>
  <si>
    <t>HETA3</t>
  </si>
  <si>
    <t>R$ 96,00</t>
  </si>
  <si>
    <t>Hercules SA - Fabrica de Talheres</t>
  </si>
  <si>
    <t>MTIG4</t>
  </si>
  <si>
    <t>Metalgrafica Iguacu SA Preference Shares</t>
  </si>
  <si>
    <t>HETA4</t>
  </si>
  <si>
    <t>Hercules SA - Fabrica de Talheres Preference Shares</t>
  </si>
  <si>
    <t>TARP11</t>
  </si>
  <si>
    <t>MTBR3</t>
  </si>
  <si>
    <t>TXRX4</t>
  </si>
  <si>
    <t>Textil Renauxview SA Preference Shares</t>
  </si>
  <si>
    <t>MTBR4</t>
  </si>
  <si>
    <t>TSPP4</t>
  </si>
  <si>
    <t>BNBR4</t>
  </si>
  <si>
    <t>TSPP3</t>
  </si>
  <si>
    <t>TXRX3</t>
  </si>
  <si>
    <t>Textil Renauxview SA</t>
  </si>
  <si>
    <t>EBEN4</t>
  </si>
  <si>
    <t>ESCE3</t>
  </si>
  <si>
    <t>CTPC4</t>
  </si>
  <si>
    <t>CPFG4</t>
  </si>
  <si>
    <t>CPFG3</t>
  </si>
  <si>
    <t>MARI3</t>
  </si>
  <si>
    <t>SMLS3</t>
  </si>
  <si>
    <t>BAZA3</t>
  </si>
  <si>
    <t>Banco da Amazonia SA</t>
  </si>
  <si>
    <t>LIGT3</t>
  </si>
  <si>
    <t>Light SA</t>
  </si>
  <si>
    <t>BSLI4</t>
  </si>
  <si>
    <t>BRB Banco de Brasilia SA Preference Shares</t>
  </si>
  <si>
    <t>RSUL4</t>
  </si>
  <si>
    <t>Metalurgica Riosulense SA Preference Shares</t>
  </si>
  <si>
    <t>ELPL4</t>
  </si>
  <si>
    <t>PTPA3</t>
  </si>
  <si>
    <t>CTSA8</t>
  </si>
  <si>
    <t>TBLE6</t>
  </si>
  <si>
    <t>PTPA4</t>
  </si>
  <si>
    <t>BNBR3</t>
  </si>
  <si>
    <t>CGRA3</t>
  </si>
  <si>
    <t>Grazziotin SA</t>
  </si>
  <si>
    <t>LUXM3</t>
  </si>
  <si>
    <t>Trevisa Investimentos SA</t>
  </si>
  <si>
    <t>VINE3</t>
  </si>
  <si>
    <t>CGRA4</t>
  </si>
  <si>
    <t>Grazziotin SA Preference Shares</t>
  </si>
  <si>
    <t>DAYC4</t>
  </si>
  <si>
    <t>VINE5</t>
  </si>
  <si>
    <t>BRSR3</t>
  </si>
  <si>
    <t>Banco do Estado do Rio Grande do Sul SA</t>
  </si>
  <si>
    <t>BRSR6</t>
  </si>
  <si>
    <t>Banco do Estado do Rio Grande do Sul B Pref Shs</t>
  </si>
  <si>
    <t>ESTC11</t>
  </si>
  <si>
    <t>TBLE5</t>
  </si>
  <si>
    <t>CLSC5</t>
  </si>
  <si>
    <t>BMEB4</t>
  </si>
  <si>
    <t>Banco Mercantil do Brasil SA Preference Shares</t>
  </si>
  <si>
    <t>BGIP4</t>
  </si>
  <si>
    <t>Banco do Estado de Sergipe SA Preference Shares</t>
  </si>
  <si>
    <t>BMEB3</t>
  </si>
  <si>
    <t>Banco Mercantil do Brasil SA</t>
  </si>
  <si>
    <t>VCPA4</t>
  </si>
  <si>
    <t>ELET3</t>
  </si>
  <si>
    <t>ELET6</t>
  </si>
  <si>
    <t>BTTL4</t>
  </si>
  <si>
    <t>EALT4</t>
  </si>
  <si>
    <t>Electro Aco Altona SA Preference Shares</t>
  </si>
  <si>
    <t>CLSC4</t>
  </si>
  <si>
    <t>Centrais Eletricas de Santa Catarina SA Preference Shares</t>
  </si>
  <si>
    <t>BSLI3</t>
  </si>
  <si>
    <t>BRB Banco de Brasilia SA</t>
  </si>
  <si>
    <t>TCSL4</t>
  </si>
  <si>
    <t>LIGH3</t>
  </si>
  <si>
    <t>WHRL3</t>
  </si>
  <si>
    <t>Whirlpool SA</t>
  </si>
  <si>
    <t>EKTR3</t>
  </si>
  <si>
    <t>Elektro Redes SA</t>
  </si>
  <si>
    <t>BPAR3</t>
  </si>
  <si>
    <t>BPIA3</t>
  </si>
  <si>
    <t>DSUL3</t>
  </si>
  <si>
    <t>COCE6</t>
  </si>
  <si>
    <t>Companhia Energetica do Ceara - COELCE Preference Shares Series B</t>
  </si>
  <si>
    <t>RNPT4</t>
  </si>
  <si>
    <t>RNPT3</t>
  </si>
  <si>
    <t>CPLE5</t>
  </si>
  <si>
    <t>Companhia Paranaense de Energia Preference Shares</t>
  </si>
  <si>
    <t>COCE3</t>
  </si>
  <si>
    <t>Companhia Energetica do Ceara - COELCE</t>
  </si>
  <si>
    <t>SGPS3</t>
  </si>
  <si>
    <t>Springs Global Participacoes SA</t>
  </si>
  <si>
    <t>CLSC3</t>
  </si>
  <si>
    <t>Centrais Eletricas de Santa Catarina SA</t>
  </si>
  <si>
    <t>PRIO3</t>
  </si>
  <si>
    <t>Petro Rio SA</t>
  </si>
  <si>
    <t>ABCB4</t>
  </si>
  <si>
    <t>Banco ABC Brasil SA</t>
  </si>
  <si>
    <t>CRPG5</t>
  </si>
  <si>
    <t>Tronox Pigmentos do Brasil SA Preference Shares Series A</t>
  </si>
  <si>
    <t>CRPG6</t>
  </si>
  <si>
    <t>Tronox Pigmentos do Brasil SA Preference Shares Series B</t>
  </si>
  <si>
    <t>CRPG3</t>
  </si>
  <si>
    <t>Tronox Pigmentos do Brasil SA</t>
  </si>
  <si>
    <t>EUCA4</t>
  </si>
  <si>
    <t>Eucatex SA Industria e Comercio Preference Shares</t>
  </si>
  <si>
    <t>CIQU3</t>
  </si>
  <si>
    <t>CIQU4</t>
  </si>
  <si>
    <t>CRIV3</t>
  </si>
  <si>
    <t>Financeira Alfa SA Credt Fincmnt Invmtos</t>
  </si>
  <si>
    <t>CAMB3</t>
  </si>
  <si>
    <t>Cambuci Ord Shs</t>
  </si>
  <si>
    <t>ELET5</t>
  </si>
  <si>
    <t>CESP6</t>
  </si>
  <si>
    <t>SANB3</t>
  </si>
  <si>
    <t>Banco Santander Brasil SA</t>
  </si>
  <si>
    <t>SANB11</t>
  </si>
  <si>
    <t>ELPL6</t>
  </si>
  <si>
    <t>ELPL5</t>
  </si>
  <si>
    <t>TGMA3</t>
  </si>
  <si>
    <t>Tegma Gestao Logistica SA</t>
  </si>
  <si>
    <t>CMIG4</t>
  </si>
  <si>
    <t>ATOM3</t>
  </si>
  <si>
    <t>ATOM Empreendimentos e Participacoes SA</t>
  </si>
  <si>
    <t>CESP5</t>
  </si>
  <si>
    <t>WLMM3</t>
  </si>
  <si>
    <t>WLM Participacoes e Cmrc d Mqns e Vcs SA</t>
  </si>
  <si>
    <t>PTNT4</t>
  </si>
  <si>
    <t>Pettenati SA Industria Textil Preference Shares</t>
  </si>
  <si>
    <t>WIZS3</t>
  </si>
  <si>
    <t>Wiz Solucoes e Corretagem de Seguros SA</t>
  </si>
  <si>
    <t>BEES4</t>
  </si>
  <si>
    <t>Banestes SA Banco do Estado Esprt Santo Preference Shares</t>
  </si>
  <si>
    <t>BRML3</t>
  </si>
  <si>
    <t>BR Malls Participacoes SA</t>
  </si>
  <si>
    <t>GPCP3</t>
  </si>
  <si>
    <t>EKTR4</t>
  </si>
  <si>
    <t>Elektro Redes SA Preference Shares</t>
  </si>
  <si>
    <t>BEES3</t>
  </si>
  <si>
    <t>Banestes SA Banco do Estado Esprt Santo</t>
  </si>
  <si>
    <t>BTTL3</t>
  </si>
  <si>
    <t>SAPR4</t>
  </si>
  <si>
    <t>Companhia de Saneamento Parana SANEPAR Preference Shares</t>
  </si>
  <si>
    <t>ALUP4</t>
  </si>
  <si>
    <t>Alupar Investimento SA Preference Shares</t>
  </si>
  <si>
    <t>CESP3</t>
  </si>
  <si>
    <t>BRSR5</t>
  </si>
  <si>
    <t>Banco do Estado do Rio Grande do Sul A Pref Shs</t>
  </si>
  <si>
    <t>MYPK3</t>
  </si>
  <si>
    <t>Iochpe Maxion SA</t>
  </si>
  <si>
    <t>SAPR11</t>
  </si>
  <si>
    <t>DPPI4</t>
  </si>
  <si>
    <t>VULC3</t>
  </si>
  <si>
    <t>Vulcabras SA</t>
  </si>
  <si>
    <t>CCTU4</t>
  </si>
  <si>
    <t>BRGE7</t>
  </si>
  <si>
    <t>Consorcio Alfa De Administracao Series C Pref Shs</t>
  </si>
  <si>
    <t>HAGA4</t>
  </si>
  <si>
    <t>Haga S/A Industria E Comercio Preference Shares</t>
  </si>
  <si>
    <t>PTBL4</t>
  </si>
  <si>
    <t>BGIP3</t>
  </si>
  <si>
    <t>Banco do Estado de Sergipe SA</t>
  </si>
  <si>
    <t>TUPY3</t>
  </si>
  <si>
    <t>Tupy SA</t>
  </si>
  <si>
    <t>BBDC3</t>
  </si>
  <si>
    <t>Banco Bradesco SA</t>
  </si>
  <si>
    <t>CMET4</t>
  </si>
  <si>
    <t>RDTR3</t>
  </si>
  <si>
    <t>CPLE3</t>
  </si>
  <si>
    <t>Companhia Paranaense de Energia</t>
  </si>
  <si>
    <t>ENBR3</t>
  </si>
  <si>
    <t>EDP Energias do Brasil SA</t>
  </si>
  <si>
    <t>CYRE4</t>
  </si>
  <si>
    <t>ALUP11</t>
  </si>
  <si>
    <t>EQTL3</t>
  </si>
  <si>
    <t>Equatorial Energia SA</t>
  </si>
  <si>
    <t>TASA3</t>
  </si>
  <si>
    <t>Taurus Armas SA</t>
  </si>
  <si>
    <t>COCE5</t>
  </si>
  <si>
    <t>Companhia Energetica do Ceara - COELCE Preference Shares Series A</t>
  </si>
  <si>
    <t>AGIN3</t>
  </si>
  <si>
    <t>AELP3</t>
  </si>
  <si>
    <t>CPLE6</t>
  </si>
  <si>
    <t>Cia Paranaense De Energia Copel Pref Shs</t>
  </si>
  <si>
    <t>CRIV4</t>
  </si>
  <si>
    <t>Financeira Alfa SA Credt Fincmnt Invmtos Preference Shares</t>
  </si>
  <si>
    <t>ROMI3</t>
  </si>
  <si>
    <t>Industrias Romi SA</t>
  </si>
  <si>
    <t>CPSL3</t>
  </si>
  <si>
    <t>TMGC12</t>
  </si>
  <si>
    <t>ACES4</t>
  </si>
  <si>
    <t>ACES3</t>
  </si>
  <si>
    <t>CEBR3</t>
  </si>
  <si>
    <t>Companhia Energetica de Brasilia CEB</t>
  </si>
  <si>
    <t>CZRS4</t>
  </si>
  <si>
    <t>TIMP3</t>
  </si>
  <si>
    <t>AFLU5</t>
  </si>
  <si>
    <t>BRPR3</t>
  </si>
  <si>
    <t>BR Properties SA</t>
  </si>
  <si>
    <t>VIVO3</t>
  </si>
  <si>
    <t>CNFB4</t>
  </si>
  <si>
    <t>HGTX4</t>
  </si>
  <si>
    <t>BRGE8</t>
  </si>
  <si>
    <t>Consorcio Alfa De Administracao Series D Pref Shs</t>
  </si>
  <si>
    <t>CBEE3</t>
  </si>
  <si>
    <t>Ampla Energia e Servicos SA</t>
  </si>
  <si>
    <t>AFLU3</t>
  </si>
  <si>
    <t>TRPL3</t>
  </si>
  <si>
    <t>CTEEP Cia Transm Energia Eletr Paulista</t>
  </si>
  <si>
    <t>CEBR6</t>
  </si>
  <si>
    <t>Companhia Energetica de Brasilia CEB Preference Shares Series B</t>
  </si>
  <si>
    <t>CIEL3</t>
  </si>
  <si>
    <t>Cielo SA</t>
  </si>
  <si>
    <t>MRSL4</t>
  </si>
  <si>
    <t>CEEB5</t>
  </si>
  <si>
    <t>Companhia de Eletrecidade do Estado da Bahia COELBA Pref Shs</t>
  </si>
  <si>
    <t>CVCB3</t>
  </si>
  <si>
    <t>CVC Brasil Operadora e Agencia d Vgns SA</t>
  </si>
  <si>
    <t>BRGE12</t>
  </si>
  <si>
    <t>Consorcio Alfa de Administracao SA Preference Shares Series F</t>
  </si>
  <si>
    <t>WLMM4</t>
  </si>
  <si>
    <t>WLM Participacoes e Cmrc d Mqns e Vcs SA Preference Shares</t>
  </si>
  <si>
    <t>CSRN3</t>
  </si>
  <si>
    <t>Companhia Enrgtca do Ro Grnd do Nrt Csrn</t>
  </si>
  <si>
    <t>CTWR3</t>
  </si>
  <si>
    <t>JHSF3</t>
  </si>
  <si>
    <t>JHSF Participacoes SA</t>
  </si>
  <si>
    <t>ALUP3</t>
  </si>
  <si>
    <t>Alupar Investimento SA</t>
  </si>
  <si>
    <t>CEBR5</t>
  </si>
  <si>
    <t>Companhia Energetica de Brasilia CEB Preference Shares Series A</t>
  </si>
  <si>
    <t>TASA4</t>
  </si>
  <si>
    <t>Taurus Armas SA Preference Shares</t>
  </si>
  <si>
    <t>VIVO4</t>
  </si>
  <si>
    <t>NEOE3</t>
  </si>
  <si>
    <t>Neoenergia SA</t>
  </si>
  <si>
    <t>CEEB3</t>
  </si>
  <si>
    <t>Companhia de Eletricidade do Estad da BC</t>
  </si>
  <si>
    <t>CSMG3</t>
  </si>
  <si>
    <t>Companhia de Saneamento de Minas Gerais</t>
  </si>
  <si>
    <t>FRIO3</t>
  </si>
  <si>
    <t>Metalfrio Solutions SA</t>
  </si>
  <si>
    <t>ITUB3</t>
  </si>
  <si>
    <t>Itau Unibanco Holding SA</t>
  </si>
  <si>
    <t>ITSA3</t>
  </si>
  <si>
    <t>Itausa SA</t>
  </si>
  <si>
    <t>MRSL3</t>
  </si>
  <si>
    <t>REDE4</t>
  </si>
  <si>
    <t>TRFO3</t>
  </si>
  <si>
    <t>BESP3</t>
  </si>
  <si>
    <t>TCOC4</t>
  </si>
  <si>
    <t>BRIV3</t>
  </si>
  <si>
    <t>Banco Alfa de Investimento SA</t>
  </si>
  <si>
    <t>RAPT3</t>
  </si>
  <si>
    <t>Randon SA Implementos e Participacoes</t>
  </si>
  <si>
    <t>ITUB4</t>
  </si>
  <si>
    <t>Itau Unibanco Holding SA Preference Shares</t>
  </si>
  <si>
    <t>BRIV4</t>
  </si>
  <si>
    <t>Banco Alfa de Investimento SA Preference Shares</t>
  </si>
  <si>
    <t>FESA4</t>
  </si>
  <si>
    <t>Companhia de Ferro Ligas da Bah Frbs Preference Shares</t>
  </si>
  <si>
    <t>MTSA4</t>
  </si>
  <si>
    <t>Metisa Metalurgica Timboense SA Preference Shares</t>
  </si>
  <si>
    <t>TRFO4</t>
  </si>
  <si>
    <t>TRIS3</t>
  </si>
  <si>
    <t>Trisul SA</t>
  </si>
  <si>
    <t>CSRN6</t>
  </si>
  <si>
    <t>Companhia Enrgtca do Ro Grnd do Nrt Csrn Preference Shares Series B</t>
  </si>
  <si>
    <t>ALLL11</t>
  </si>
  <si>
    <t>ALLL4</t>
  </si>
  <si>
    <t>BESP4</t>
  </si>
  <si>
    <t>LEVE3</t>
  </si>
  <si>
    <t>Mahle Metal Leve SA</t>
  </si>
  <si>
    <t>CAMB4</t>
  </si>
  <si>
    <t>ENMT3</t>
  </si>
  <si>
    <t>Energisa Mato Gross Distribudr d Enrg SA</t>
  </si>
  <si>
    <t>GRNL4</t>
  </si>
  <si>
    <t>ENMT4</t>
  </si>
  <si>
    <t>Energisa Mato Gross Distribudr d Enrg SA Preference Shares</t>
  </si>
  <si>
    <t>ELUM3</t>
  </si>
  <si>
    <t>RIPI3</t>
  </si>
  <si>
    <t>CZLT33</t>
  </si>
  <si>
    <t>ELPL3</t>
  </si>
  <si>
    <t>RIPI4</t>
  </si>
  <si>
    <t>DOHL4</t>
  </si>
  <si>
    <t>BRDT3</t>
  </si>
  <si>
    <t>BRGE3</t>
  </si>
  <si>
    <t>Consorcio Alfa de Administracao SA</t>
  </si>
  <si>
    <t>EBCO4</t>
  </si>
  <si>
    <t>EMAE4</t>
  </si>
  <si>
    <t>EMAE Empresa Mtrpltna de Ags e Enrga SA Preference Shares</t>
  </si>
  <si>
    <t>ENAT3</t>
  </si>
  <si>
    <t>Enauta Participacoes SA</t>
  </si>
  <si>
    <t>PSSA3</t>
  </si>
  <si>
    <t>Porto Seguro SA</t>
  </si>
  <si>
    <t>TEND3</t>
  </si>
  <si>
    <t>Construtora Tenda SA</t>
  </si>
  <si>
    <t>TEMP3</t>
  </si>
  <si>
    <t>PTBL3</t>
  </si>
  <si>
    <t>PBG SA</t>
  </si>
  <si>
    <t>NAFG3</t>
  </si>
  <si>
    <t>NAFG4</t>
  </si>
  <si>
    <t>CSRN5</t>
  </si>
  <si>
    <t>Companhia Enrgtca do Ro Grnd do Nrt Csrn Preference Shares Series A</t>
  </si>
  <si>
    <t>EALT3</t>
  </si>
  <si>
    <t>Electro Aco Altona SA</t>
  </si>
  <si>
    <t>FIBR3</t>
  </si>
  <si>
    <t>EBCO3</t>
  </si>
  <si>
    <t>RPAD3</t>
  </si>
  <si>
    <t>Alfa Holdings SA</t>
  </si>
  <si>
    <t>SMTO3</t>
  </si>
  <si>
    <t>Sao Martinho SA</t>
  </si>
  <si>
    <t>MPLU3</t>
  </si>
  <si>
    <t>GEPA3</t>
  </si>
  <si>
    <t>Rio Paranapanema Energia SA</t>
  </si>
  <si>
    <t>CPFE3</t>
  </si>
  <si>
    <t>CPFL Energia S.A.</t>
  </si>
  <si>
    <t>BPAN4</t>
  </si>
  <si>
    <t>Banco Pan SA</t>
  </si>
  <si>
    <t>TKNO4</t>
  </si>
  <si>
    <t>Tekno SA Industria e Comercio Preference Shares</t>
  </si>
  <si>
    <t>SOND6</t>
  </si>
  <si>
    <t>Sondotenica Engenharia de Solos B Pref Shs</t>
  </si>
  <si>
    <t>RPAD6</t>
  </si>
  <si>
    <t>Alfa Holdings SA Preference Shares Series B</t>
  </si>
  <si>
    <t>AMPI3</t>
  </si>
  <si>
    <t>RAPT4</t>
  </si>
  <si>
    <t>Randon SA Implementos e Participacoes Preference Shares</t>
  </si>
  <si>
    <t>MRVE3</t>
  </si>
  <si>
    <t>MRV Engenharia e Participacoes SA</t>
  </si>
  <si>
    <t>LUXM4</t>
  </si>
  <si>
    <t>Trevisa Investimentos SA Preference Shares</t>
  </si>
  <si>
    <t>POMO3</t>
  </si>
  <si>
    <t>Marcopolo SA</t>
  </si>
  <si>
    <t>TMGC7</t>
  </si>
  <si>
    <t>MERC3</t>
  </si>
  <si>
    <t>Mercantil do Brasil Financeira SA CFI</t>
  </si>
  <si>
    <t>ALLL3</t>
  </si>
  <si>
    <t>HGTX3</t>
  </si>
  <si>
    <t>AVIL3</t>
  </si>
  <si>
    <t>DXTG4</t>
  </si>
  <si>
    <t>GUAR3</t>
  </si>
  <si>
    <t>Guararapes Confeccoes SA</t>
  </si>
  <si>
    <t>BRGE11</t>
  </si>
  <si>
    <t>Consorcio Alfa de Administracao SA Preference Shares Series E</t>
  </si>
  <si>
    <t>SFSA4</t>
  </si>
  <si>
    <t>GETI3</t>
  </si>
  <si>
    <t>GETI4</t>
  </si>
  <si>
    <t>FIGE4</t>
  </si>
  <si>
    <t>Investimentos Bemge SA Preference Shares</t>
  </si>
  <si>
    <t>RGEG3</t>
  </si>
  <si>
    <t>POMO4</t>
  </si>
  <si>
    <t>Marcopolo SA Preference Shares</t>
  </si>
  <si>
    <t>PEAB3</t>
  </si>
  <si>
    <t>Companhia de Participacoes Alianca Bahia</t>
  </si>
  <si>
    <t>PTNT3</t>
  </si>
  <si>
    <t>Pettenati SA Industria Textil</t>
  </si>
  <si>
    <t>CGAS3</t>
  </si>
  <si>
    <t>Companhia de Gas de Sao Paulo - COMGAS</t>
  </si>
  <si>
    <t>SULA4</t>
  </si>
  <si>
    <t>Sul America SA Preference Shares</t>
  </si>
  <si>
    <t>SLCE3</t>
  </si>
  <si>
    <t>SLC Agricola S.A.</t>
  </si>
  <si>
    <t>ARCE3</t>
  </si>
  <si>
    <t>CGAS5</t>
  </si>
  <si>
    <t>Companhia de Gas de Sao Paulo - COMGAS Preference Shares</t>
  </si>
  <si>
    <t>EQPA3</t>
  </si>
  <si>
    <t>Equatorial Para Dist De Energia Ord Shs</t>
  </si>
  <si>
    <t>TMGC11</t>
  </si>
  <si>
    <t>HAGA3</t>
  </si>
  <si>
    <t>Haga S/A Industria E Comercio</t>
  </si>
  <si>
    <t>TNCP4</t>
  </si>
  <si>
    <t>TNCP3</t>
  </si>
  <si>
    <t>KSSA3</t>
  </si>
  <si>
    <t>FESA3</t>
  </si>
  <si>
    <t>Companhia de Ferro Ligas da Bah Frbs</t>
  </si>
  <si>
    <t>EGIE3</t>
  </si>
  <si>
    <t>Engie Brasil Energia SA</t>
  </si>
  <si>
    <t>SOND5</t>
  </si>
  <si>
    <t>Sondotenica Engenharia de Solos A Pref Shs</t>
  </si>
  <si>
    <t>GRND3</t>
  </si>
  <si>
    <t>Grendene SA</t>
  </si>
  <si>
    <t>GEPA4</t>
  </si>
  <si>
    <t>Rio Paranapanema Energia SA Preference Shares</t>
  </si>
  <si>
    <t>ELUM4</t>
  </si>
  <si>
    <t>BALM4</t>
  </si>
  <si>
    <t>Baumer SA Preference Shares</t>
  </si>
  <si>
    <t>TCOC3</t>
  </si>
  <si>
    <t>EVEN3</t>
  </si>
  <si>
    <t>EVEN Construtora e Incorporadora SA</t>
  </si>
  <si>
    <t>FIGE3</t>
  </si>
  <si>
    <t>Investimentos Bemge SA</t>
  </si>
  <si>
    <t>RDCD3</t>
  </si>
  <si>
    <t>SOND3</t>
  </si>
  <si>
    <t>Sondotecnica Engenharia de Solos SA</t>
  </si>
  <si>
    <t>EEEL3</t>
  </si>
  <si>
    <t>MLFT4</t>
  </si>
  <si>
    <t>TMGC13</t>
  </si>
  <si>
    <t>BEMA3</t>
  </si>
  <si>
    <t>BRFS3</t>
  </si>
  <si>
    <t>BRF SA</t>
  </si>
  <si>
    <t>CTSA3</t>
  </si>
  <si>
    <t>Companhia Tecidos Santanense</t>
  </si>
  <si>
    <t>BRGE6</t>
  </si>
  <si>
    <t>Consorcio Alfa De Administracao Series B Pref Shs</t>
  </si>
  <si>
    <t>JPSA3</t>
  </si>
  <si>
    <t>ILMD3</t>
  </si>
  <si>
    <t>AESL3</t>
  </si>
  <si>
    <t>AESL4</t>
  </si>
  <si>
    <t>CARD3</t>
  </si>
  <si>
    <t>UCAS3</t>
  </si>
  <si>
    <t>UNICASA Industria de Moveis S/A</t>
  </si>
  <si>
    <t>CRTP5</t>
  </si>
  <si>
    <t>CAML3</t>
  </si>
  <si>
    <t>Camil Alimentos SA</t>
  </si>
  <si>
    <t>YDUQ3</t>
  </si>
  <si>
    <t>YDUQS Participacoes SA</t>
  </si>
  <si>
    <t>ILMD4</t>
  </si>
  <si>
    <t>RPAD5</t>
  </si>
  <si>
    <t>Alfa Holdings SA Preference Shares Series A</t>
  </si>
  <si>
    <t>MERC4</t>
  </si>
  <si>
    <t>Mercantil do Brasil Financeira SA CFI Preference Shares</t>
  </si>
  <si>
    <t>DURA4</t>
  </si>
  <si>
    <t>CYRE3</t>
  </si>
  <si>
    <t>Cyrela Brazil Realty SA Emprdts e Prtpcs</t>
  </si>
  <si>
    <t>DURA3</t>
  </si>
  <si>
    <t>DPPI3</t>
  </si>
  <si>
    <t>VIVT4</t>
  </si>
  <si>
    <t>VIVT3</t>
  </si>
  <si>
    <t>Telefonica Brasil SA</t>
  </si>
  <si>
    <t>PEAB4</t>
  </si>
  <si>
    <t>Companhia de Participacoes Alianca Bahia Preference Shares</t>
  </si>
  <si>
    <t>DIRR3</t>
  </si>
  <si>
    <t>Direcional Engenharia SA</t>
  </si>
  <si>
    <t>TIET4</t>
  </si>
  <si>
    <t>MYPK4</t>
  </si>
  <si>
    <t>PARD3</t>
  </si>
  <si>
    <t>Instituto Hermes Pardini SA</t>
  </si>
  <si>
    <t>BMTO4</t>
  </si>
  <si>
    <t>SULA11</t>
  </si>
  <si>
    <t>ENGI4</t>
  </si>
  <si>
    <t>Energisa SA Preference Shares</t>
  </si>
  <si>
    <t>TIET11</t>
  </si>
  <si>
    <t>BAUH4</t>
  </si>
  <si>
    <t>Excelsior Alimentos SA Preference Shares</t>
  </si>
  <si>
    <t>BFIT4</t>
  </si>
  <si>
    <t>BMTO3</t>
  </si>
  <si>
    <t>BPAC5</t>
  </si>
  <si>
    <t>Banco BTG Pactual SA Preference Shares Class A</t>
  </si>
  <si>
    <t>GOAU3</t>
  </si>
  <si>
    <t>Metalurgica Gerdau S.A.</t>
  </si>
  <si>
    <t>FRTA3</t>
  </si>
  <si>
    <t>Pomifrutas SA</t>
  </si>
  <si>
    <t>CTSA4</t>
  </si>
  <si>
    <t>Companhia Tecidos Santanense Preference Shares</t>
  </si>
  <si>
    <t>UCOP4</t>
  </si>
  <si>
    <t>PATI3</t>
  </si>
  <si>
    <t>Panatlantica SA</t>
  </si>
  <si>
    <t>DTEX3</t>
  </si>
  <si>
    <t>BFIT3</t>
  </si>
  <si>
    <t>ENEV3</t>
  </si>
  <si>
    <t>Eneva SA</t>
  </si>
  <si>
    <t>ENGI11</t>
  </si>
  <si>
    <t>TMCP3</t>
  </si>
  <si>
    <t>KEPL3</t>
  </si>
  <si>
    <t>Kepler Weber SA</t>
  </si>
  <si>
    <t>JOPA3</t>
  </si>
  <si>
    <t>Josapar Joaquim Oliveira SA Prtcpcs</t>
  </si>
  <si>
    <t>EUCA3</t>
  </si>
  <si>
    <t>Eucatex SA Industria e Comercio</t>
  </si>
  <si>
    <t>QUAL3</t>
  </si>
  <si>
    <t>Qualicorp Consultoria e Cra de Ses SA</t>
  </si>
  <si>
    <t>VLID3</t>
  </si>
  <si>
    <t>Valid Solucoes SA</t>
  </si>
  <si>
    <t>SMLE3</t>
  </si>
  <si>
    <t>HYPE3</t>
  </si>
  <si>
    <t>Hypera SA</t>
  </si>
  <si>
    <t>TMCP4</t>
  </si>
  <si>
    <t>GOAU4</t>
  </si>
  <si>
    <t>Metalurgica Gerdau S.A. Preference Shares</t>
  </si>
  <si>
    <t>WEGE4</t>
  </si>
  <si>
    <t>ABEV3</t>
  </si>
  <si>
    <t>Ambev SA</t>
  </si>
  <si>
    <t>EEEL4</t>
  </si>
  <si>
    <t>CNTO3</t>
  </si>
  <si>
    <t>BPAC11</t>
  </si>
  <si>
    <t>MDIA3</t>
  </si>
  <si>
    <t>M. Dias Branco SA Ind Com de Alimentos</t>
  </si>
  <si>
    <t>GGBR3</t>
  </si>
  <si>
    <t>Gerdau SA</t>
  </si>
  <si>
    <t>BEEF3</t>
  </si>
  <si>
    <t>Minerva SA</t>
  </si>
  <si>
    <t>AUTM3</t>
  </si>
  <si>
    <t>AEDU11</t>
  </si>
  <si>
    <t>JOPA4</t>
  </si>
  <si>
    <t>Josapar Joaquim Oliveira SA Prtcpcs Preference Shares</t>
  </si>
  <si>
    <t>SCAR3</t>
  </si>
  <si>
    <t>Sao Carlos Empreendimentos e Part. SA</t>
  </si>
  <si>
    <t>SEER3</t>
  </si>
  <si>
    <t>Ser Educacional SA</t>
  </si>
  <si>
    <t>DOHL3</t>
  </si>
  <si>
    <t>AHEB5</t>
  </si>
  <si>
    <t>Sao Paulo Turismo SA Preference Shares Class A</t>
  </si>
  <si>
    <t>BALM3</t>
  </si>
  <si>
    <t>Baumer SA</t>
  </si>
  <si>
    <t>CCRO3</t>
  </si>
  <si>
    <t>CCR SA</t>
  </si>
  <si>
    <t>LCAM3</t>
  </si>
  <si>
    <t>CRTP3</t>
  </si>
  <si>
    <t>EZTC3</t>
  </si>
  <si>
    <t>EZTEC Empreendimentos e Participacoes SA</t>
  </si>
  <si>
    <t>BSCT6</t>
  </si>
  <si>
    <t>AFLT3</t>
  </si>
  <si>
    <t>Afluente Transmissao de Energia Eltrc SA</t>
  </si>
  <si>
    <t>IGTA3</t>
  </si>
  <si>
    <t>TVIT3</t>
  </si>
  <si>
    <t>ENGI3</t>
  </si>
  <si>
    <t>Energisa SA</t>
  </si>
  <si>
    <t>ARZZ3</t>
  </si>
  <si>
    <t>Arezzo Industria E Comercio SA</t>
  </si>
  <si>
    <t>ELEK3</t>
  </si>
  <si>
    <t>TMGC3</t>
  </si>
  <si>
    <t>GGBR4</t>
  </si>
  <si>
    <t>Gerdau SA Preference Shares</t>
  </si>
  <si>
    <t>TSEP4</t>
  </si>
  <si>
    <t>MULT3</t>
  </si>
  <si>
    <t>Multiplan Empreendiment. Imobiliarios SA</t>
  </si>
  <si>
    <t>SULA3</t>
  </si>
  <si>
    <t>Sul America SA</t>
  </si>
  <si>
    <t>ELEK4</t>
  </si>
  <si>
    <t>MAGS3</t>
  </si>
  <si>
    <t>AHEB3</t>
  </si>
  <si>
    <t>Sao Paulo Turismo SA</t>
  </si>
  <si>
    <t>TUPY4</t>
  </si>
  <si>
    <t>CRUZ3</t>
  </si>
  <si>
    <t>LOGG3</t>
  </si>
  <si>
    <t>Log Commercial Properties E Participacoe</t>
  </si>
  <si>
    <t>TNLP4</t>
  </si>
  <si>
    <t>LEVE4</t>
  </si>
  <si>
    <t>AMBV4</t>
  </si>
  <si>
    <t>AMBV3</t>
  </si>
  <si>
    <t>FRAS3</t>
  </si>
  <si>
    <t>Fras-le SA</t>
  </si>
  <si>
    <t>FLRY3</t>
  </si>
  <si>
    <t>Fleury SA</t>
  </si>
  <si>
    <t>RPSA4</t>
  </si>
  <si>
    <t>ODPV3</t>
  </si>
  <si>
    <t>Odontoprev SA</t>
  </si>
  <si>
    <t>PFRM3</t>
  </si>
  <si>
    <t>Profarma Distribuidora de Produts Frm SA</t>
  </si>
  <si>
    <t>PATI4</t>
  </si>
  <si>
    <t>Panatlantica SA Preference Shares</t>
  </si>
  <si>
    <t>OFSA3</t>
  </si>
  <si>
    <t>Ouro Fino Saude Animal Participacoes SA</t>
  </si>
  <si>
    <t>SEBB11</t>
  </si>
  <si>
    <t>BPAC3</t>
  </si>
  <si>
    <t>Banco BTG Pactual SA</t>
  </si>
  <si>
    <t>EQPA7</t>
  </si>
  <si>
    <t>Equatorial Para Dist Energia Prf Shs C</t>
  </si>
  <si>
    <t>BMIN4</t>
  </si>
  <si>
    <t>Banco Mercantil de Investimentos SA Preference Shares</t>
  </si>
  <si>
    <t>B3SA3</t>
  </si>
  <si>
    <t>B3 SA Brasil Bolsa Balcao</t>
  </si>
  <si>
    <t>EQPA5</t>
  </si>
  <si>
    <t>Equatorial Para Distribuidra de Enrga SA</t>
  </si>
  <si>
    <t>JSLG3</t>
  </si>
  <si>
    <t>JSL SA</t>
  </si>
  <si>
    <t>BSCT5</t>
  </si>
  <si>
    <t>AGRO3</t>
  </si>
  <si>
    <t>Brasilagro Companhia Braslr Propds Agrcl</t>
  </si>
  <si>
    <t>CSAN3</t>
  </si>
  <si>
    <t>Cosan SA</t>
  </si>
  <si>
    <t>VULC4</t>
  </si>
  <si>
    <t>PNVL4</t>
  </si>
  <si>
    <t>BRGE5</t>
  </si>
  <si>
    <t>Consorcio Alfa de Administracao SA Preference Shares Series A</t>
  </si>
  <si>
    <t>BMIN3</t>
  </si>
  <si>
    <t>Banco Mercantil de Investimentos SA</t>
  </si>
  <si>
    <t>CREM3</t>
  </si>
  <si>
    <t>CSNA3</t>
  </si>
  <si>
    <t>TSEP3</t>
  </si>
  <si>
    <t>RENT3</t>
  </si>
  <si>
    <t>Localiza Rent a Car SA</t>
  </si>
  <si>
    <t>LIPR3</t>
  </si>
  <si>
    <t>Eletrobras Participacoes SA ELETROPAR</t>
  </si>
  <si>
    <t>FRAS4</t>
  </si>
  <si>
    <t>PCAR3</t>
  </si>
  <si>
    <t>LREN3</t>
  </si>
  <si>
    <t>Lojas Renner SA</t>
  </si>
  <si>
    <t>CTIP3</t>
  </si>
  <si>
    <t>TNLP3</t>
  </si>
  <si>
    <t>PCAR5</t>
  </si>
  <si>
    <t>REDE3</t>
  </si>
  <si>
    <t>Rede Energia Participacoes SA</t>
  </si>
  <si>
    <t>WSON33</t>
  </si>
  <si>
    <t>VIGR3</t>
  </si>
  <si>
    <t>BMKS3</t>
  </si>
  <si>
    <t>Bicicletas Monark SA</t>
  </si>
  <si>
    <t>PCAR4</t>
  </si>
  <si>
    <t>ALSC3</t>
  </si>
  <si>
    <t>CRFB3</t>
  </si>
  <si>
    <t>Atacadao SA</t>
  </si>
  <si>
    <t>RAIA3</t>
  </si>
  <si>
    <t>CEGR3</t>
  </si>
  <si>
    <t>Companhia Distribuidora d Gs d RdJnr CEG</t>
  </si>
  <si>
    <t>IMCH3</t>
  </si>
  <si>
    <t>PNVL3</t>
  </si>
  <si>
    <t>Dimed SA Distribuidora de Medicamentos</t>
  </si>
  <si>
    <t>PTQS4</t>
  </si>
  <si>
    <t>UOLL4</t>
  </si>
  <si>
    <t>RADL3</t>
  </si>
  <si>
    <t>Raia Drogasil SA</t>
  </si>
  <si>
    <t>TOTS3</t>
  </si>
  <si>
    <t>Totvs SA</t>
  </si>
  <si>
    <t>PRGA4</t>
  </si>
  <si>
    <t>MOVI3</t>
  </si>
  <si>
    <t>Movida Participacoes SA</t>
  </si>
  <si>
    <t>ALPA3</t>
  </si>
  <si>
    <t>Alpargatas SA</t>
  </si>
  <si>
    <t>HAPV3</t>
  </si>
  <si>
    <t>Hapvida Participacoes e Investimentos SA</t>
  </si>
  <si>
    <t>CCPR3</t>
  </si>
  <si>
    <t>EQPA6</t>
  </si>
  <si>
    <t>Equatorial Para Dist Energia Prf Shs B</t>
  </si>
  <si>
    <t>WEGE3</t>
  </si>
  <si>
    <t>Weg SA</t>
  </si>
  <si>
    <t>PLTO6</t>
  </si>
  <si>
    <t>PLTO5</t>
  </si>
  <si>
    <t>FFTL3</t>
  </si>
  <si>
    <t>FFTL4</t>
  </si>
  <si>
    <t>LAME3</t>
  </si>
  <si>
    <t>CPRE3</t>
  </si>
  <si>
    <t>GVTT3</t>
  </si>
  <si>
    <t>AEDU3</t>
  </si>
  <si>
    <t>ALPA4</t>
  </si>
  <si>
    <t>Alpargatas SA Preference Shares</t>
  </si>
  <si>
    <t>IDNT3</t>
  </si>
  <si>
    <t>SUBA3</t>
  </si>
  <si>
    <t>UGPA3</t>
  </si>
  <si>
    <t>Ultrapar Participacoes SA</t>
  </si>
  <si>
    <t>MTRE3</t>
  </si>
  <si>
    <t>Mitre Realty Emprndmnts e Prtcpcs SA</t>
  </si>
  <si>
    <t>RLOG3</t>
  </si>
  <si>
    <t>LAME4</t>
  </si>
  <si>
    <t>ELCA4</t>
  </si>
  <si>
    <t>DAGB33</t>
  </si>
  <si>
    <t>RAIL3</t>
  </si>
  <si>
    <t>Rumo SA</t>
  </si>
  <si>
    <t>ALSO3</t>
  </si>
  <si>
    <t>Aliansce Sonae Shopping Centers SA</t>
  </si>
  <si>
    <t>GNDI3</t>
  </si>
  <si>
    <t>RDNI3</t>
  </si>
  <si>
    <t>RNI Negocios Imobiliarios SA</t>
  </si>
  <si>
    <t>ELCA3</t>
  </si>
  <si>
    <t>UNIP6</t>
  </si>
  <si>
    <t>Unipar Participacoes B Pref Shs</t>
  </si>
  <si>
    <t>AHEB6</t>
  </si>
  <si>
    <t>Sao Paulo Turismo SA Preference Shares Class B</t>
  </si>
  <si>
    <t>UGPA4</t>
  </si>
  <si>
    <t>PQUN3</t>
  </si>
  <si>
    <t>PQUN4</t>
  </si>
  <si>
    <t>UNIP5</t>
  </si>
  <si>
    <t>Unipar Participacoes A Pref Shs</t>
  </si>
  <si>
    <t>LINX3</t>
  </si>
  <si>
    <t>CASN3</t>
  </si>
  <si>
    <t>Companhia Catarinense d Ags e Smnt CASAN</t>
  </si>
  <si>
    <t>UNIP3</t>
  </si>
  <si>
    <t>Unipar Carbocloro SA</t>
  </si>
  <si>
    <t>TMAR6</t>
  </si>
  <si>
    <t>TMAR5</t>
  </si>
  <si>
    <t>FLCL6</t>
  </si>
  <si>
    <t>MRFG3</t>
  </si>
  <si>
    <t>Marfrig Global Foods SA</t>
  </si>
  <si>
    <t>NETC3</t>
  </si>
  <si>
    <t>BIDI3</t>
  </si>
  <si>
    <t>MGLU3</t>
  </si>
  <si>
    <t>Magazine Luiza SA</t>
  </si>
  <si>
    <t>AALR3</t>
  </si>
  <si>
    <t>Centro de Imagem Diagnosticos SA</t>
  </si>
  <si>
    <t>NETC4</t>
  </si>
  <si>
    <t>FLCL3</t>
  </si>
  <si>
    <t>ROMI4</t>
  </si>
  <si>
    <t>BIDI11</t>
  </si>
  <si>
    <t>FLCL5</t>
  </si>
  <si>
    <t>GUAR4</t>
  </si>
  <si>
    <t>BIDI4</t>
  </si>
  <si>
    <t>TMAR3</t>
  </si>
  <si>
    <t>STBP11</t>
  </si>
  <si>
    <t>LWSA3</t>
  </si>
  <si>
    <t>LocaWeb Servicos de Internet SA</t>
  </si>
  <si>
    <t>VALE5</t>
  </si>
  <si>
    <t>NATU3</t>
  </si>
  <si>
    <t>DASA3</t>
  </si>
  <si>
    <t>Diagnosticos da America SA</t>
  </si>
  <si>
    <t>PRBC4</t>
  </si>
  <si>
    <t>ELEV3</t>
  </si>
  <si>
    <t>RHDS4</t>
  </si>
  <si>
    <t>VALE3</t>
  </si>
  <si>
    <t>Vale SA</t>
  </si>
  <si>
    <t>UBBR4</t>
  </si>
  <si>
    <t>GBIO33</t>
  </si>
  <si>
    <t>UBBR11</t>
  </si>
  <si>
    <t>UBBR3</t>
  </si>
  <si>
    <t>CEPE6</t>
  </si>
  <si>
    <t>Companhia Energetica De Pernambuco B Pref Shs</t>
  </si>
  <si>
    <t>CEPE3</t>
  </si>
  <si>
    <t>R$ 128,00</t>
  </si>
  <si>
    <t>Companhia Energetica de Pernambuco</t>
  </si>
  <si>
    <t>CEPE5</t>
  </si>
  <si>
    <t>Companhia Energetica de Pernambuco A Pref Shs</t>
  </si>
  <si>
    <t>BRAP3</t>
  </si>
  <si>
    <t>Bradespar SA</t>
  </si>
  <si>
    <t>BRAP4</t>
  </si>
  <si>
    <t>Bradespar SA Preference Shares</t>
  </si>
  <si>
    <t>CTPC3</t>
  </si>
  <si>
    <t>XP Log Fundo de Investimento Imobiliario-FII</t>
  </si>
  <si>
    <t>FI Imobiliario FII BTG Pactual Fundo de Fundos</t>
  </si>
  <si>
    <t>FII BTG Pactual Corporate Office Fund</t>
  </si>
  <si>
    <t>Hedge Top FOF II 3 FI Imobiliario</t>
  </si>
  <si>
    <t>CSHG Logistica Fnd de Invstmnt Imblr FII</t>
  </si>
  <si>
    <t>CSHG Real Estate FI Imobiliario-FII</t>
  </si>
  <si>
    <t>CSHG Renda Urbana-FI Imobiliario-FII</t>
  </si>
  <si>
    <t>Kinea Renda Imobiliaria FII</t>
  </si>
  <si>
    <t>Fundo de Investimento Imobiliario - VBI Logistico</t>
  </si>
  <si>
    <t>Maxi Renda Fundo de Investimento Imobiliario - FII</t>
  </si>
  <si>
    <t>FII Rio Bravo Renda Varejo-FII</t>
  </si>
  <si>
    <t>Vinci Logistica Fundo de Investimento Imobiliario</t>
  </si>
  <si>
    <t>Vinci Offices Fdo Inv Imob - Fii Vinc Cor</t>
  </si>
  <si>
    <t>XP Malls Fundo de Investimento Imobiliario</t>
  </si>
  <si>
    <t>BTG Pactual Logistica FI Imobiliario</t>
  </si>
  <si>
    <t>AESB3</t>
  </si>
  <si>
    <t>Aes Brasil Energia SA</t>
  </si>
  <si>
    <t>Hectare CE - FI Imobiliario</t>
  </si>
  <si>
    <t>FI Imobiliario Iridium Recebiveis Imobiliarios</t>
  </si>
  <si>
    <t>Habitat II-Fundo de Investimento Imobiliario</t>
  </si>
  <si>
    <t>Alianza Trust Renda Imobiliaria FII</t>
  </si>
  <si>
    <t>bari11</t>
  </si>
  <si>
    <t>FI Imobiliario Barigui Rendimentos Imobiliarios I</t>
  </si>
  <si>
    <t>FINANCEIRO</t>
  </si>
  <si>
    <t>SANEAMENTO</t>
  </si>
  <si>
    <t>PREÇO MÉDIO</t>
  </si>
  <si>
    <t>FI Imobiliario Grand Plaza Shopping</t>
  </si>
  <si>
    <t>AF Invest Cri FII Recebiveis Imobiliarios</t>
  </si>
  <si>
    <t>Autonomy Edificios Corporativos FII</t>
  </si>
  <si>
    <t>FI Imobiliario - FII Torre Almirante</t>
  </si>
  <si>
    <t>Riza Arctium Real Estate FII</t>
  </si>
  <si>
    <t>FI Imobiliario Atrio REIT Recebiveis Imobiliarios</t>
  </si>
  <si>
    <t>Hedge Atrium Shopping Santo Andre FII</t>
  </si>
  <si>
    <t>BB Fundo De Investimento Imobiliario Progressivo</t>
  </si>
  <si>
    <t>BB Fundo de Fundos FI Imobiliario</t>
  </si>
  <si>
    <t>BB Recebiveis Imobiliarios FII</t>
  </si>
  <si>
    <t>BB Progressivo II FI Imobiliario FII</t>
  </si>
  <si>
    <t>BB Renda Corporativa FI Imobiliario FII</t>
  </si>
  <si>
    <t>Banestes Recebiveis Imobiliarios FII</t>
  </si>
  <si>
    <t>Inter Titulos Imobiliarios Fundo De Investimento Imobiliario Closed Fund</t>
  </si>
  <si>
    <t>Bluecap Renda Logistica FII - FII</t>
  </si>
  <si>
    <t>Bluemacaw Credito Imobiliario FI Imobiliario</t>
  </si>
  <si>
    <t>Bluemacaw Logistica FII</t>
  </si>
  <si>
    <t>Bluemacaw Renda+ FOF FII</t>
  </si>
  <si>
    <t>Banrisul Novas Fronteiras FII</t>
  </si>
  <si>
    <t>FII - FII Brasil Plural Absoluto Fundo de Fundos</t>
  </si>
  <si>
    <t>FI Imobiliario BTG Pactual Shoppings Closed Fund</t>
  </si>
  <si>
    <t>Bresco Logistica Fundo de Investimento Imobiliaro ETF</t>
  </si>
  <si>
    <t>Brazil Real Estate Victory Fund I - FII</t>
  </si>
  <si>
    <t>Fundo de Investimento Imobiliario BRL Prop II</t>
  </si>
  <si>
    <t>FI Imobiliario BTG Pactual Agro Logistica</t>
  </si>
  <si>
    <t>FI Imobiliario BTG Pactual Credito Imobiliario</t>
  </si>
  <si>
    <t>FI Imobiliario BTG Pactual Terras Agricolas</t>
  </si>
  <si>
    <t>TC Btowers Fundo Investimento Imobiliario Closed Fund</t>
  </si>
  <si>
    <t>Brazil Realty FI Imobiliario</t>
  </si>
  <si>
    <t>Brazilian Graveyard and Death Care Services FII</t>
  </si>
  <si>
    <t>Castello Branco Office Park FI Imobiliario FII</t>
  </si>
  <si>
    <t>FI Imobiliario - Ceo Cyrela Commercial Properties</t>
  </si>
  <si>
    <t>Cidade Jardim Continental Tower FII - Unica</t>
  </si>
  <si>
    <t>FI Imobiliario - FII CENESP</t>
  </si>
  <si>
    <t>Capitania Reit FOF - FI Imobiliario</t>
  </si>
  <si>
    <t>Capitania Securities II Fundo de Investimento Imobiliario Closed Fund</t>
  </si>
  <si>
    <t>Caixa Rio Bravo FF de Investimento Imobiliario II</t>
  </si>
  <si>
    <t>FI Imobiliario Centro Textil Internacional</t>
  </si>
  <si>
    <t>FI Imobiliario - VBI CRI</t>
  </si>
  <si>
    <t>FII Caixa Imoveis Corporativos - Unica</t>
  </si>
  <si>
    <t>Devant Recebiveis Imobiliarios FII</t>
  </si>
  <si>
    <t>FI Imobiliario - FII Edificio Galeria</t>
  </si>
  <si>
    <t>FII Europar</t>
  </si>
  <si>
    <t>Vbi Consumo Essen Fdo Invest Imob Closed Fund</t>
  </si>
  <si>
    <t>FI Imobiliario Anhanguera Educacional</t>
  </si>
  <si>
    <t>FII ALMIRANTCI MB</t>
  </si>
  <si>
    <t>Fundo de Investimento Imobiliario Athena I</t>
  </si>
  <si>
    <t>FI Imobiliario Campus Faria Lima</t>
  </si>
  <si>
    <t>FI Imobiliario-FII BTG Pactual Fundo de CRI</t>
  </si>
  <si>
    <t>FII General Shopping Ativo e Renda - FII</t>
  </si>
  <si>
    <t>FII Industrial do Brasil</t>
  </si>
  <si>
    <t>R$ 165,00</t>
  </si>
  <si>
    <t>FI Imobiliario SC 401</t>
  </si>
  <si>
    <t>FII Vida Nova</t>
  </si>
  <si>
    <t>Faria Lima Capital Recebiveis Imobiliarios I - FII</t>
  </si>
  <si>
    <t>FI Imobiliario Continental Square Faria Lima</t>
  </si>
  <si>
    <t>FI Imobiliario FII Floripa Shopping</t>
  </si>
  <si>
    <t>FII Memorial Office</t>
  </si>
  <si>
    <t>FI Imobiliario Projeto Agua Branca</t>
  </si>
  <si>
    <t>FI Imobiliario Via Parque Shopping-FII</t>
  </si>
  <si>
    <t>FI Imobiliario Guardian Logistica Unica</t>
  </si>
  <si>
    <t>Galapagos Fundo de Fundos FII FI Imobiliario</t>
  </si>
  <si>
    <t>Galapagos Recebiveis Imobiliarios FI Imobiliario</t>
  </si>
  <si>
    <t>R$ 1.520,00</t>
  </si>
  <si>
    <t>GGR Covepi Renda FII</t>
  </si>
  <si>
    <t>General Shopping e Outlets do Brasil FII</t>
  </si>
  <si>
    <t>Fundo Investimento Imobiliario Green Towers</t>
  </si>
  <si>
    <t>Hedge AAA Fundo de Investimento Imobiliario</t>
  </si>
  <si>
    <t>FI Imobiliario Multi Renda Urbana</t>
  </si>
  <si>
    <t>Hectare Recebiveis High Grade FII</t>
  </si>
  <si>
    <t>FII Hospital Da Crianca</t>
  </si>
  <si>
    <t>Hedge Brasil Shopping FI Imobiliario</t>
  </si>
  <si>
    <t>CSHG Recebiveis Imobiliarios FII</t>
  </si>
  <si>
    <t>CSHG Imobiliario FOF FII</t>
  </si>
  <si>
    <t>HGI Creditos Imobiliarios FII</t>
  </si>
  <si>
    <t>CSHG Prime Offices FII - FII</t>
  </si>
  <si>
    <t>Hedge Logistica Fundo de Investimento Imobiliario Closed Fund</t>
  </si>
  <si>
    <t>Fundo de Investimento imobiliario Housi</t>
  </si>
  <si>
    <t>Hedge Shopping Parque Dom Pedro FII Closed Fund</t>
  </si>
  <si>
    <t>HEDGE REALTY DEVELOPMENT FDO INV IMOB</t>
  </si>
  <si>
    <t>Hedge Recebiveis Imobiliarios FII</t>
  </si>
  <si>
    <t>HSI Log I FI Imobiliario</t>
  </si>
  <si>
    <t>HSI Malls Fundo de Investimento Imobiliario</t>
  </si>
  <si>
    <t>HSI Realty I FI Imobiliario</t>
  </si>
  <si>
    <t>FI Imobiliario - FII Hotel Maxinvest</t>
  </si>
  <si>
    <t>FII Hospital Unimed Sul Capixaba</t>
  </si>
  <si>
    <t>Jfl Living FI Imobiliario Classe Unica</t>
  </si>
  <si>
    <t>FI Imobiliario-FII Jardim Sul</t>
  </si>
  <si>
    <t>JS Real Estate Multigestao FII</t>
  </si>
  <si>
    <t>Fundo de FI Imobiliario Kinea FII</t>
  </si>
  <si>
    <t>Even Permuta Kinea FII</t>
  </si>
  <si>
    <t>Kilima Fi Em Cotas Fdo Imob Suno 30</t>
  </si>
  <si>
    <t>Kinea Rendimentos Imobiliarios FII</t>
  </si>
  <si>
    <t>Kinea High Yield CRI FI Imobiliario-FII</t>
  </si>
  <si>
    <t>Kinea Indices de Precos FII</t>
  </si>
  <si>
    <t>Kinea II Real Estate Equity FII</t>
  </si>
  <si>
    <t>Kinea Securities FI Imobiliario FII</t>
  </si>
  <si>
    <t>Legatus Shoppings FI Imobiliario FII</t>
  </si>
  <si>
    <t>LOGCP Inter Fundo de Investimento Imobiliario Closed Fund</t>
  </si>
  <si>
    <t>Luggo Fundo de Investimento Imobiliario</t>
  </si>
  <si>
    <t>Malls Brasil Plural FI Imobiliario</t>
  </si>
  <si>
    <t>FI Imobiliario FII Max Retail</t>
  </si>
  <si>
    <t>FII Mercantil do Brasil</t>
  </si>
  <si>
    <t>FII Maua Capital Recebiveis Imobiliarios FII</t>
  </si>
  <si>
    <t>FI Imobiliario Maua Capital High Yield FII</t>
  </si>
  <si>
    <t>Merito Fundos De Acoes Imobiliarias FII Closed Fund</t>
  </si>
  <si>
    <t>Merito Desenvolvimento Imobiliario I FII</t>
  </si>
  <si>
    <t>FII Mogno Certificados de Receb Imob High Grade</t>
  </si>
  <si>
    <t>FI Imobiliario Mogno Fundo de Fundos</t>
  </si>
  <si>
    <t>Fundo de Investimento Imobiliario Mogno Hoteis</t>
  </si>
  <si>
    <t>More Real Estate FOF FII FI Imobiliario</t>
  </si>
  <si>
    <t>Navi Imobiliario FOF de Investimento Imobiliario</t>
  </si>
  <si>
    <t>Brasil Plural II - FII</t>
  </si>
  <si>
    <t>Renda de Escritors Fndo de Invto ImoFII</t>
  </si>
  <si>
    <t>FII Hospital Nossa Senhora de Lourdes</t>
  </si>
  <si>
    <t>FI Imobiliario Novo Horizonte</t>
  </si>
  <si>
    <t>Fundo de Investimento Imobiliario VBI Logistico</t>
  </si>
  <si>
    <t>Fundo de Investimento Imobiliario The One</t>
  </si>
  <si>
    <t>Ourinvest JPP FI Imobiliario</t>
  </si>
  <si>
    <t>Fundo de Investimento Imobiliario Ourinvest Logistica Closed Fund</t>
  </si>
  <si>
    <t>Fundo de Invest Imob Ourinvest Renda Estruturada Cf</t>
  </si>
  <si>
    <t>Fundo de Investimento Imobiliario Panamby</t>
  </si>
  <si>
    <t>Patria Edificios Corporativos FI Imobiliario-FII</t>
  </si>
  <si>
    <t>Patria Logistica Fundo de Investimento Imobiliario</t>
  </si>
  <si>
    <t>Plural Recebiveis Imobiliarios FII</t>
  </si>
  <si>
    <t>Plural Logistica Fundo de Investimento Imobiliario</t>
  </si>
  <si>
    <t>Polo FII Recebiveis Imobiliarios I</t>
  </si>
  <si>
    <t>Parque Anhanguera FII Unica</t>
  </si>
  <si>
    <t>FII - FII Parque Dom Pedro Shopping Center</t>
  </si>
  <si>
    <t>FI Imobiliario VBI Prime Properties</t>
  </si>
  <si>
    <t>Quasar Agro - Fundo de Investimento Imobiliario</t>
  </si>
  <si>
    <t>RB Capital Desenvolvimento Residencial II FII</t>
  </si>
  <si>
    <t>Rio Bravo Credito Imobiliario High Yield FII Unica</t>
  </si>
  <si>
    <t>RB Cap Desenv Residencial IV FII</t>
  </si>
  <si>
    <t>RB Capital Logistico FI Imobiliario FII</t>
  </si>
  <si>
    <t>RB Capital Renda II FI Imobiliario</t>
  </si>
  <si>
    <t>FI Imobiliario RBR Alpha Fundo de Fundos</t>
  </si>
  <si>
    <t>Rbr Log Fundo de Investimento Imobiliario</t>
  </si>
  <si>
    <t>FI Imobiliario RBR Properties - FII</t>
  </si>
  <si>
    <t>FI Imobiliario RBR Rendimento High Grade</t>
  </si>
  <si>
    <t>Rio Bravo Renda Residencial FI Imobiliario</t>
  </si>
  <si>
    <t>Fdo Inv Imob Rbr Private Credito Imob Cef</t>
  </si>
  <si>
    <t>Rio Bravo Credito Imobiliario II FII</t>
  </si>
  <si>
    <t>FI Imobiliario Rio Bravo Renda Corporativa</t>
  </si>
  <si>
    <t>BB Renda Papeis imobiliarios II FII</t>
  </si>
  <si>
    <t>FI Imobiliario - FII Rec Renda Imobiliaria</t>
  </si>
  <si>
    <t>FI Imobiliario Rec Fundo de Fundos</t>
  </si>
  <si>
    <t>Fundo de Investimento Imobiliario Rec Logistica</t>
  </si>
  <si>
    <t>Fii Rb Capital I Fundo de Fundos</t>
  </si>
  <si>
    <t>BB Renda de Papeis Imobiliarios FI imobiliario FII</t>
  </si>
  <si>
    <t>FII Imobiliario Rio Negro</t>
  </si>
  <si>
    <t>Rb Capital Recebiveis Imobiliarios FII Unica</t>
  </si>
  <si>
    <t>Vbi Reits Fof - Fundo de Investimento Imobiliario</t>
  </si>
  <si>
    <t>Riza Akin Fundo de Investimento Imobiliario FII</t>
  </si>
  <si>
    <t>FI Imobiliario Riza Terrax unica</t>
  </si>
  <si>
    <t>Santander Papeis Imobiliarios CDI FII</t>
  </si>
  <si>
    <t>Santander Renda de Alugueis FII</t>
  </si>
  <si>
    <t>SCP Fundo Investimento Imobiliario</t>
  </si>
  <si>
    <t>FII SDI Rio Bravo Renda Logistica</t>
  </si>
  <si>
    <t>FII Shopping Patio Higienopolis</t>
  </si>
  <si>
    <t>Suno Fundo de Fundos de Investimento Imobiliario</t>
  </si>
  <si>
    <t>SP Downtown Fundo Investimento Imobiliario - FII</t>
  </si>
  <si>
    <t>Starx FI Imobiliario</t>
  </si>
  <si>
    <t>Tellus Properties Fundo de Investimento Imobiliario Closed Fund</t>
  </si>
  <si>
    <t>FII TG Ativo Real</t>
  </si>
  <si>
    <t>Tordesilhas EI Fundo de Investimento Imobiliario Closed Fund</t>
  </si>
  <si>
    <t>FI Imobiliario - FII Torre Norte</t>
  </si>
  <si>
    <t>TRX Real Estate FII Closed Fund</t>
  </si>
  <si>
    <t>Urca Prime Renda FII Closed Fund</t>
  </si>
  <si>
    <t>Vectis Juros Real FI Imobiliario FII</t>
  </si>
  <si>
    <t>Vectis Renda Residencial FII - 1</t>
  </si>
  <si>
    <t>Valora Hedge Fund FI Imobiliario - FII - Unica</t>
  </si>
  <si>
    <t>Valora Cri Indice de Preco FI Imobiliario - FII</t>
  </si>
  <si>
    <t>Valora RE III FI Imobiliario-FII</t>
  </si>
  <si>
    <t>Vinci Instrumentos Financeiros Fundo de Investimento Imobiliario Closed Fund</t>
  </si>
  <si>
    <t>Vinci Shopping Centers FI Imobiliario</t>
  </si>
  <si>
    <t>Vinci Imoveis Urbanos FI Imobiliario</t>
  </si>
  <si>
    <t>FI Imobiliario - FII Vila Olimpia Corporate</t>
  </si>
  <si>
    <t>Votorantim Securities Master FII-FII</t>
  </si>
  <si>
    <t>Fator Verita Fundo Investimento Imobiliario - FII</t>
  </si>
  <si>
    <t>FI Imobiliario Votorantim Shopping</t>
  </si>
  <si>
    <t>Versalhes Recebiveis Imobiliarios - FII</t>
  </si>
  <si>
    <t>FI Imobiliario Votorantim Logistica</t>
  </si>
  <si>
    <t>Fundo de Investimento Imobiliario V2 Properties Closed Fund</t>
  </si>
  <si>
    <t>Shopping West Plaza FI Imobiliario</t>
  </si>
  <si>
    <t>XP Credito Imobiliario Fdo Inv Mob</t>
  </si>
  <si>
    <t>XP Corporate Macae FI Imobiliario</t>
  </si>
  <si>
    <t>XP Hoteis - Fdo Inv Imob - FII</t>
  </si>
  <si>
    <t>XP Industrial Fundo de Investimento Imobiliario</t>
  </si>
  <si>
    <t>XP Properties FII - FII</t>
  </si>
  <si>
    <t>Xp Selection Fundo de Fundos Inv Imob Fii</t>
  </si>
  <si>
    <t>TRX Edificios Corporativos FII</t>
  </si>
  <si>
    <t>Sequoia III Renda Imobiliaria FII</t>
  </si>
  <si>
    <t>Rio Bravo Credito Imobiliario High Grade FII</t>
  </si>
  <si>
    <t>R$ 76.000,00</t>
  </si>
  <si>
    <t>Gol Linhas Aereas Inteligentes SA Preference Shares</t>
  </si>
  <si>
    <t>R$ 64,50</t>
  </si>
  <si>
    <t>R$ 22,00</t>
  </si>
  <si>
    <t>FII Rec Recebiveis Imobiliarios</t>
  </si>
  <si>
    <t>Klabin SA Unit</t>
  </si>
  <si>
    <t>Transmissora Alianca Energia Eletrica SA Unit</t>
  </si>
  <si>
    <t>Banco Santander Brasil SA Unit</t>
  </si>
  <si>
    <t>Companhia de Saneamento Parana SANEPAR Unit</t>
  </si>
  <si>
    <t>Alupar Investimento SA Unit</t>
  </si>
  <si>
    <t>Sul America SA Unit</t>
  </si>
  <si>
    <t>Energisa SA Unit</t>
  </si>
  <si>
    <t>Banco BTG Pactual SA Unit</t>
  </si>
  <si>
    <t>Hsi Ativos Fnncrs Fnd d Invstmnt Imblri</t>
  </si>
  <si>
    <t>Polo Credito Imobiliario - FII</t>
  </si>
  <si>
    <t>Operação</t>
  </si>
  <si>
    <t>Código</t>
  </si>
  <si>
    <t>Nome Empresa</t>
  </si>
  <si>
    <t>Tipo</t>
  </si>
  <si>
    <t>Cotação na Compra ou Venda</t>
  </si>
  <si>
    <t>Total Investido</t>
  </si>
  <si>
    <t>Total ações/cotas</t>
  </si>
  <si>
    <t>Quantidade Atual</t>
  </si>
  <si>
    <t>Preço Total</t>
  </si>
  <si>
    <t>Preço Médio Atual</t>
  </si>
  <si>
    <t>FII</t>
  </si>
  <si>
    <t>Data</t>
  </si>
  <si>
    <t>Quantidade</t>
  </si>
  <si>
    <t>COMPRA</t>
  </si>
  <si>
    <t>% CARTEIRA</t>
  </si>
  <si>
    <t>COTAÇÃO ATUAL</t>
  </si>
  <si>
    <t>PATRIMONIO ATUAL</t>
  </si>
  <si>
    <t>TOTAL AQUISIÇÃO</t>
  </si>
  <si>
    <t>VARIAÇÃO %</t>
  </si>
  <si>
    <t>LUCRO PREJUIZO</t>
  </si>
  <si>
    <t>NOME</t>
  </si>
  <si>
    <t>RESUMO IR - BENS E DIREITOS</t>
  </si>
  <si>
    <t>Column6</t>
  </si>
  <si>
    <t>BANCO BRADESCO SA</t>
  </si>
  <si>
    <t>CTEEP CIA TRANSM ENERGIA ELETR PAULISTA PREFERENCE SHARES</t>
  </si>
  <si>
    <t>BANCO SANTANDER BRASIL SA PREFERENCE SHARES</t>
  </si>
  <si>
    <t>COMPANHIA DE SANEAMENTO BSC DEDSP SBSP</t>
  </si>
  <si>
    <t>IRB BRASIL RESSEGUROS SA</t>
  </si>
  <si>
    <t>SCHULZ SA PREFERENCE SHARES</t>
  </si>
  <si>
    <t>C&amp;A MODAS SA</t>
  </si>
  <si>
    <t>ITAUSA SA PREFERENCE SHARES</t>
  </si>
  <si>
    <t>TRANSMISSORA ALIANCA ENERGIA ELETRICA SA PREFERENCE SHARES</t>
  </si>
  <si>
    <t>EMBRAER SA</t>
  </si>
  <si>
    <t>INTERNATIONAL MEAL COMPANY ALIMENTCAO SA</t>
  </si>
  <si>
    <t>RESTOQUE COMERCIO E CONFECOS DE ROUPS SA</t>
  </si>
  <si>
    <t>MOURA DUBEUX ENGENHARIA S.A.</t>
  </si>
  <si>
    <t>COMPANHIA DE SANEAMENTO PARANA SANEPAR</t>
  </si>
  <si>
    <t>BANCO DO BRASIL SA</t>
  </si>
  <si>
    <t>WHIRLPOOL SA PREFERENCE SHARES</t>
  </si>
  <si>
    <t>GAFISA SA</t>
  </si>
  <si>
    <t>OI SA EM RECUPERACAO JUDICIAL</t>
  </si>
  <si>
    <t>POSITIVO TECNOLOGIA SA</t>
  </si>
  <si>
    <t>SANTOS BRASIL PARTICIPACOES SA</t>
  </si>
  <si>
    <t>FERTILIZANTES HERINGER SA</t>
  </si>
  <si>
    <t>HELBOR EMPREENDIMENTOS SA</t>
  </si>
  <si>
    <t>DOMMO ENERGIA SA</t>
  </si>
  <si>
    <t>ALPER CONSULTORIA E CORRETORA DESEGURSSA</t>
  </si>
  <si>
    <t>MANGELS INDUSTRIAL SA</t>
  </si>
  <si>
    <t>PRINER SERVICOS INDUSTRIAIS SA</t>
  </si>
  <si>
    <t>ALLPARK EMPREENDIMENTOS PRTCPCS SRVCS SA</t>
  </si>
  <si>
    <t>ECORODOVIAS INFRAESTRUTURA E LOGISTIC SA</t>
  </si>
  <si>
    <t>GOL LINHAS AEREAS INTELIGENTES SA PREFERENCE SHARES</t>
  </si>
  <si>
    <t>MONTEIRO ARANHA SA</t>
  </si>
  <si>
    <t>USINAS SIDERURGICAS DE MINAS GERAIS PREF SHS</t>
  </si>
  <si>
    <t>ANIMA HOLDING SA</t>
  </si>
  <si>
    <t>RECRUSUL SA PREFERENCE SHARES</t>
  </si>
  <si>
    <t>TECNOSOLO ENGENHARIA SA</t>
  </si>
  <si>
    <t>USINAS SIDERURGICAS DE MINS GRS SA USMNS</t>
  </si>
  <si>
    <t>USINAS SIDERURGICAS DE MINAS GERAIS A PREF SHS</t>
  </si>
  <si>
    <t>BIOMM SA</t>
  </si>
  <si>
    <t>PETROLEO BRASILEIRO SA PETROBRAS</t>
  </si>
  <si>
    <t>TELECOMUNICACOES BRASILEIRAS SA TELEBRAS</t>
  </si>
  <si>
    <t>TECNOSOLO ENGENHARIA SA PREFERENCE SHARES</t>
  </si>
  <si>
    <t>PETROLEO BRASILEIRO SA PETROBRAS PREFERENCE SHARES</t>
  </si>
  <si>
    <t>MARISA LOJAS SA</t>
  </si>
  <si>
    <t>LOG-IN LOGISTICA INTERMODAL SA</t>
  </si>
  <si>
    <t>MANGELS INDUSTRIAL SA PREFERENCE SHARES</t>
  </si>
  <si>
    <t>BOMBRIL SA PREFERENCE SHARES</t>
  </si>
  <si>
    <t>IRANI PAPEL E EMBALAGEM SA</t>
  </si>
  <si>
    <t>KLABIN SA</t>
  </si>
  <si>
    <t>KLABIN SA UNIT</t>
  </si>
  <si>
    <t>KLABIN SA PREFERENCE SHARES</t>
  </si>
  <si>
    <t>COMPANHIA MELHORAMENTOS DE SAO PAULO PREFERENCE SHARES</t>
  </si>
  <si>
    <t>BAHEMA EDUCACAO SA</t>
  </si>
  <si>
    <t>BRASKEM SA</t>
  </si>
  <si>
    <t>COMPANHIA MELHORAMENTOS DE SAO PAULO</t>
  </si>
  <si>
    <t>BRASKEM SA PREFERENCE SHARES SERIES A</t>
  </si>
  <si>
    <t>PLASCAR PARTICIPACOES INDUSTRIAIS SA</t>
  </si>
  <si>
    <t>BOMBRIL SA</t>
  </si>
  <si>
    <t>TELECOMUNICACOES BRASILEIRAS SA TELEBRAS PREFERENCE SHARES</t>
  </si>
  <si>
    <t>KARSTEN SA</t>
  </si>
  <si>
    <t>KARSTEN SA PREFERENCE SHARES</t>
  </si>
  <si>
    <t>CR2 EMPREENDIMENTOS IMOBILIARIOS SA</t>
  </si>
  <si>
    <t>CIA DE FIACAO E TECIDOS CEDRO CACHOEIRA</t>
  </si>
  <si>
    <t>BRASKEM SA PREFERENCE SHARES SERIES B</t>
  </si>
  <si>
    <t>BANCO PINE SA PREFERENCE SHARES</t>
  </si>
  <si>
    <t>MUNDIAL SA PRODUTOS DE CONSUMO</t>
  </si>
  <si>
    <t>COMPANHIA DE TECIDOS NRT D MNS COTEMINAS</t>
  </si>
  <si>
    <t>DTCOM DIRECT TO COMPANY SA</t>
  </si>
  <si>
    <t>SIDERURGICA JL ALIPERTI SA PREFERENCE SHARES</t>
  </si>
  <si>
    <t>SUZANO SA</t>
  </si>
  <si>
    <t>CIA DE FIACAO E TECIDOS CEDRO CACHOEIRA PREFERENCE SHARES</t>
  </si>
  <si>
    <t>COMPANHIA DE TECIDOS NRT D MNS COTEMINAS PREFERENCE SHARES</t>
  </si>
  <si>
    <t>T4F ENTRETENIMENTO SA</t>
  </si>
  <si>
    <t>CONSTRUTORA ADOLPHO LINDENBERG SA</t>
  </si>
  <si>
    <t>TECNISA SA</t>
  </si>
  <si>
    <t>GP INVESTMENTS LIMITED</t>
  </si>
  <si>
    <t>TPI TRIUNFO PARTICIPACOES E INVEST. SA</t>
  </si>
  <si>
    <t>COMPANHIA HABITASUL DE PARTICIPACOES PREFERENCE SHARES</t>
  </si>
  <si>
    <t>PARANAPANEMA SA</t>
  </si>
  <si>
    <t>CORREA RIBEIRO SA COMERCIO E INDUSTRIA PREFERENCE SHARES</t>
  </si>
  <si>
    <t>MINUPAR PARTICIPACOES SA</t>
  </si>
  <si>
    <t>COMPANHIA ESTADUAL DE DISTRIBUICAO PREFERENCE SHARES</t>
  </si>
  <si>
    <t>OI SA EM RECUPERACAO JUDICIAL PREFERENCE SHARES</t>
  </si>
  <si>
    <t>TECHNOS SA</t>
  </si>
  <si>
    <t>MANUFATURA DE BRINQUEDOS ESTRELA SA PREFERENCE SHARES</t>
  </si>
  <si>
    <t>REFINARIA DE PETROLEOS D MNG S EM RCP JD</t>
  </si>
  <si>
    <t>COMPANHIA ESTADUAL DE DISTRIBUICAO</t>
  </si>
  <si>
    <t>JOAO FORTES ENGENHARIA S.A.</t>
  </si>
  <si>
    <t>AZUL SA</t>
  </si>
  <si>
    <t>LUPATECH SA</t>
  </si>
  <si>
    <t>IGB ELETRONICA SA</t>
  </si>
  <si>
    <t>MANUFATURA DE BRINQUEDOS ESTRELA SA</t>
  </si>
  <si>
    <t>WETZEL SA</t>
  </si>
  <si>
    <t>BARDELLA SA INDUSTRIAS MECANICAS</t>
  </si>
  <si>
    <t>VIVER INCORPORADORA E CONSTRUTORA SA</t>
  </si>
  <si>
    <t>HOTEIS OTHON SA PREFERENCE SHARES</t>
  </si>
  <si>
    <t>GENERAL SHOPPING E OUTLETS DO BRASIL SA</t>
  </si>
  <si>
    <t>ROSSI RESIDENCIAL SA</t>
  </si>
  <si>
    <t>AZEVEDO &amp; TRAVASSOS SA</t>
  </si>
  <si>
    <t>WETZEL SA PREFERENCE SHARES</t>
  </si>
  <si>
    <t>CORREA RIBEIRO SA COMERCIO E INDUSTRIA</t>
  </si>
  <si>
    <t>AZEVEDO &amp; TRAVASSOS SA PREFERENCE SHARES</t>
  </si>
  <si>
    <t>SARAIVA LIVREIROS SA EM RECUPERACAO JDCL</t>
  </si>
  <si>
    <t>INEPAR SA INDUSTRIA E CONSTRUCOES</t>
  </si>
  <si>
    <t>INEPAR SA INDUSTRIA E CONSTRUCOES PREFERENCE SHARES</t>
  </si>
  <si>
    <t>BARDELLA SA INDUSTRIAS MECANICAS PREFERENCE SHARES</t>
  </si>
  <si>
    <t>MMX MINERACAO E MTLCS SA EM RCCO JUDCL</t>
  </si>
  <si>
    <t>SANSUY INDUSTRIA DE PLASTICOS A PREF SHS</t>
  </si>
  <si>
    <t>SARAIVA LIVREIROS SA EM RECUPERACAO JDCL PREFERENCE SHARES</t>
  </si>
  <si>
    <t>TEKA TECELAGEM KUEHNRICH SA</t>
  </si>
  <si>
    <t>TEKA TECELAGEM KUEHNRICH SA PREFERENCE SHARES</t>
  </si>
  <si>
    <t>BB SEGURIDADE PARTICIPACOES SA</t>
  </si>
  <si>
    <t>BANCO BMG SA</t>
  </si>
  <si>
    <t>COMPANHIA DE SEGUROS ALIANCA DA BAHIA</t>
  </si>
  <si>
    <t>COMPANHIA DE SEGUROS ALIANCA DA BAHIA PREFERENCE SHARES</t>
  </si>
  <si>
    <t>NATURA &amp; CO HOLDING SA</t>
  </si>
  <si>
    <t>TRANSMISSORA ALIANCA ENERGIA ELETRICA SA UNIT</t>
  </si>
  <si>
    <t>TRANSMISSORA ALIANCA ENERGIA ELETRICA SA</t>
  </si>
  <si>
    <t>VIVARA PARTICIPACOES SA</t>
  </si>
  <si>
    <t>METALGRAFICA IGUACU SA</t>
  </si>
  <si>
    <t>NUTRIPLANT INDUSTRIA E COMERCIO SA</t>
  </si>
  <si>
    <t>MINASMAQUINAS SA PREFERENCE SHARES</t>
  </si>
  <si>
    <t>HERCULES SA - FABRICA DE TALHERES</t>
  </si>
  <si>
    <t>METALGRAFICA IGUACU SA PREFERENCE SHARES</t>
  </si>
  <si>
    <t>HERCULES SA - FABRICA DE TALHERES PREFERENCE SHARES</t>
  </si>
  <si>
    <t>TEXTIL RENAUXVIEW SA PREFERENCE SHARES</t>
  </si>
  <si>
    <t>TEXTIL RENAUXVIEW SA</t>
  </si>
  <si>
    <t>BANCO DA AMAZONIA SA</t>
  </si>
  <si>
    <t>LIGHT SA</t>
  </si>
  <si>
    <t>BRB BANCO DE BRASILIA SA PREFERENCE SHARES</t>
  </si>
  <si>
    <t>METALURGICA RIOSULENSE SA PREFERENCE SHARES</t>
  </si>
  <si>
    <t>GRAZZIOTIN SA</t>
  </si>
  <si>
    <t>TREVISA INVESTIMENTOS SA</t>
  </si>
  <si>
    <t>GRAZZIOTIN SA PREFERENCE SHARES</t>
  </si>
  <si>
    <t>BANCO DO ESTADO DO RIO GRANDE DO SUL SA</t>
  </si>
  <si>
    <t>BANCO DO ESTADO DO RIO GRANDE DO SUL B PREF SHS</t>
  </si>
  <si>
    <t>BANCO MERCANTIL DO BRASIL SA PREFERENCE SHARES</t>
  </si>
  <si>
    <t>BANCO DO ESTADO DE SERGIPE SA PREFERENCE SHARES</t>
  </si>
  <si>
    <t>BANCO MERCANTIL DO BRASIL SA</t>
  </si>
  <si>
    <t>ELECTRO ACO ALTONA SA PREFERENCE SHARES</t>
  </si>
  <si>
    <t>CENTRAIS ELETRICAS DE SANTA CATARINA SA PREFERENCE SHARES</t>
  </si>
  <si>
    <t>BRB BANCO DE BRASILIA SA</t>
  </si>
  <si>
    <t>WHIRLPOOL SA</t>
  </si>
  <si>
    <t>ELEKTRO REDES SA</t>
  </si>
  <si>
    <t>COMPANHIA ENERGETICA DO CEARA - COELCE PREFERENCE SHARES SERIES B</t>
  </si>
  <si>
    <t>COMPANHIA PARANAENSE DE ENERGIA PREFERENCE SHARES</t>
  </si>
  <si>
    <t>COMPANHIA ENERGETICA DO CEARA - COELCE</t>
  </si>
  <si>
    <t>SPRINGS GLOBAL PARTICIPACOES SA</t>
  </si>
  <si>
    <t>CENTRAIS ELETRICAS DE SANTA CATARINA SA</t>
  </si>
  <si>
    <t>PETRO RIO SA</t>
  </si>
  <si>
    <t>BANCO ABC BRASIL SA</t>
  </si>
  <si>
    <t>TRONOX PIGMENTOS DO BRASIL SA PREFERENCE SHARES SERIES A</t>
  </si>
  <si>
    <t>TRONOX PIGMENTOS DO BRASIL SA PREFERENCE SHARES SERIES B</t>
  </si>
  <si>
    <t>TRONOX PIGMENTOS DO BRASIL SA</t>
  </si>
  <si>
    <t>EUCATEX SA INDUSTRIA E COMERCIO PREFERENCE SHARES</t>
  </si>
  <si>
    <t>FINANCEIRA ALFA SA CREDT FINCMNT INVMTOS</t>
  </si>
  <si>
    <t>CAMBUCI ORD SHS</t>
  </si>
  <si>
    <t>BANCO SANTANDER BRASIL SA</t>
  </si>
  <si>
    <t>BANCO SANTANDER BRASIL SA UNIT</t>
  </si>
  <si>
    <t>TEGMA GESTAO LOGISTICA SA</t>
  </si>
  <si>
    <t>ATOM EMPREENDIMENTOS E PARTICIPACOES SA</t>
  </si>
  <si>
    <t>WLM PARTICIPACOES E CMRC D MQNS E VCS SA</t>
  </si>
  <si>
    <t>PETTENATI SA INDUSTRIA TEXTIL PREFERENCE SHARES</t>
  </si>
  <si>
    <t>WIZ SOLUCOES E CORRETAGEM DE SEGUROS SA</t>
  </si>
  <si>
    <t>BANESTES SA BANCO DO ESTADO ESPRT SANTO PREFERENCE SHARES</t>
  </si>
  <si>
    <t>BR MALLS PARTICIPACOES SA</t>
  </si>
  <si>
    <t>ELEKTRO REDES SA PREFERENCE SHARES</t>
  </si>
  <si>
    <t>BANESTES SA BANCO DO ESTADO ESPRT SANTO</t>
  </si>
  <si>
    <t>COMPANHIA DE SANEAMENTO PARANA SANEPAR PREFERENCE SHARES</t>
  </si>
  <si>
    <t>ALUPAR INVESTIMENTO SA PREFERENCE SHARES</t>
  </si>
  <si>
    <t>BANCO DO ESTADO DO RIO GRANDE DO SUL A PREF SHS</t>
  </si>
  <si>
    <t>IOCHPE MAXION SA</t>
  </si>
  <si>
    <t>COMPANHIA DE SANEAMENTO PARANA SANEPAR UNIT</t>
  </si>
  <si>
    <t>VULCABRAS SA</t>
  </si>
  <si>
    <t>CONSORCIO ALFA DE ADMINISTRACAO SERIES C PREF SHS</t>
  </si>
  <si>
    <t>HAGA S/A INDUSTRIA E COMERCIO PREFERENCE SHARES</t>
  </si>
  <si>
    <t>BANCO DO ESTADO DE SERGIPE SA</t>
  </si>
  <si>
    <t>TUPY SA</t>
  </si>
  <si>
    <t>COMPANHIA PARANAENSE DE ENERGIA</t>
  </si>
  <si>
    <t>EDP ENERGIAS DO BRASIL SA</t>
  </si>
  <si>
    <t>ALUPAR INVESTIMENTO SA UNIT</t>
  </si>
  <si>
    <t>EQUATORIAL ENERGIA SA</t>
  </si>
  <si>
    <t>TAURUS ARMAS SA</t>
  </si>
  <si>
    <t>COMPANHIA ENERGETICA DO CEARA - COELCE PREFERENCE SHARES SERIES A</t>
  </si>
  <si>
    <t>CIA PARANAENSE DE ENERGIA COPEL PREF SHS</t>
  </si>
  <si>
    <t>FINANCEIRA ALFA SA CREDT FINCMNT INVMTOS PREFERENCE SHARES</t>
  </si>
  <si>
    <t>INDUSTRIAS ROMI SA</t>
  </si>
  <si>
    <t>BANCO BRADESCO SA PREFERENCE SHARES</t>
  </si>
  <si>
    <t>COMPANHIA ENERGETICA DE BRASILIA CEB</t>
  </si>
  <si>
    <t>BR PROPERTIES SA</t>
  </si>
  <si>
    <t>CONSORCIO ALFA DE ADMINISTRACAO SERIES D PREF SHS</t>
  </si>
  <si>
    <t>AMPLA ENERGIA E SERVICOS SA</t>
  </si>
  <si>
    <t>CTEEP CIA TRANSM ENERGIA ELETR PAULISTA</t>
  </si>
  <si>
    <t>COMPANHIA ENERGETICA DE BRASILIA CEB PREFERENCE SHARES SERIES B</t>
  </si>
  <si>
    <t>CIELO SA</t>
  </si>
  <si>
    <t>COMPANHIA DE ELETRECIDADE DO ESTADO DA BAHIA COELBA PREF SHS</t>
  </si>
  <si>
    <t>CVC BRASIL OPERADORA E AGENCIA D VGNS SA</t>
  </si>
  <si>
    <t>CONSORCIO ALFA DE ADMINISTRACAO SA PREFERENCE SHARES SERIES F</t>
  </si>
  <si>
    <t>WLM PARTICIPACOES E CMRC D MQNS E VCS SA PREFERENCE SHARES</t>
  </si>
  <si>
    <t>COMPANHIA ENRGTCA DO RO GRND DO NRT CSRN</t>
  </si>
  <si>
    <t>JHSF PARTICIPACOES SA</t>
  </si>
  <si>
    <t>ALUPAR INVESTIMENTO SA</t>
  </si>
  <si>
    <t>COMPANHIA ENERGETICA DE BRASILIA CEB PREFERENCE SHARES SERIES A</t>
  </si>
  <si>
    <t>TAURUS ARMAS SA PREFERENCE SHARES</t>
  </si>
  <si>
    <t>NEOENERGIA SA</t>
  </si>
  <si>
    <t>COMPANHIA DE ELETRICIDADE DO ESTAD DA BC</t>
  </si>
  <si>
    <t>COMPANHIA DE SANEAMENTO DE MINAS GERAIS</t>
  </si>
  <si>
    <t>METALFRIO SOLUTIONS SA</t>
  </si>
  <si>
    <t>ITAU UNIBANCO HOLDING SA</t>
  </si>
  <si>
    <t>ITAUSA SA</t>
  </si>
  <si>
    <t>BANCO ALFA DE INVESTIMENTO SA</t>
  </si>
  <si>
    <t>RANDON SA IMPLEMENTOS E PARTICIPACOES</t>
  </si>
  <si>
    <t>ITAU UNIBANCO HOLDING SA PREFERENCE SHARES</t>
  </si>
  <si>
    <t>BANCO ALFA DE INVESTIMENTO SA PREFERENCE SHARES</t>
  </si>
  <si>
    <t>COMPANHIA DE FERRO LIGAS DA BAH FRBS PREFERENCE SHARES</t>
  </si>
  <si>
    <t>METISA METALURGICA TIMBOENSE SA PREFERENCE SHARES</t>
  </si>
  <si>
    <t>TRISUL SA</t>
  </si>
  <si>
    <t>COMPANHIA ENRGTCA DO RO GRND DO NRT CSRN PREFERENCE SHARES SERIES B</t>
  </si>
  <si>
    <t>MAHLE METAL LEVE SA</t>
  </si>
  <si>
    <t>ENERGISA MATO GROSS DISTRIBUDR D ENRG SA</t>
  </si>
  <si>
    <t>ENERGISA MATO GROSS DISTRIBUDR D ENRG SA PREFERENCE SHARES</t>
  </si>
  <si>
    <t>CONSORCIO ALFA DE ADMINISTRACAO SA</t>
  </si>
  <si>
    <t>EMAE EMPRESA MTRPLTNA DE AGS E ENRGA SA PREFERENCE SHARES</t>
  </si>
  <si>
    <t>ENAUTA PARTICIPACOES SA</t>
  </si>
  <si>
    <t>PORTO SEGURO SA</t>
  </si>
  <si>
    <t>CONSTRUTORA TENDA SA</t>
  </si>
  <si>
    <t>COMPANHIA ENRGTCA DO RO GRND DO NRT CSRN PREFERENCE SHARES SERIES A</t>
  </si>
  <si>
    <t>ELECTRO ACO ALTONA SA</t>
  </si>
  <si>
    <t>ALFA HOLDINGS SA</t>
  </si>
  <si>
    <t>SAO MARTINHO SA</t>
  </si>
  <si>
    <t>RIO PARANAPANEMA ENERGIA SA</t>
  </si>
  <si>
    <t>CPFL ENERGIA S.A.</t>
  </si>
  <si>
    <t>BANCO PAN SA</t>
  </si>
  <si>
    <t>TEKNO SA INDUSTRIA E COMERCIO PREFERENCE SHARES</t>
  </si>
  <si>
    <t>SONDOTENICA ENGENHARIA DE SOLOS B PREF SHS</t>
  </si>
  <si>
    <t>ALFA HOLDINGS SA PREFERENCE SHARES SERIES B</t>
  </si>
  <si>
    <t>RANDON SA IMPLEMENTOS E PARTICIPACOES PREFERENCE SHARES</t>
  </si>
  <si>
    <t>MRV ENGENHARIA E PARTICIPACOES SA</t>
  </si>
  <si>
    <t>TREVISA INVESTIMENTOS SA PREFERENCE SHARES</t>
  </si>
  <si>
    <t>MARCOPOLO SA</t>
  </si>
  <si>
    <t>MERCANTIL DO BRASIL FINANCEIRA SA CFI</t>
  </si>
  <si>
    <t>GUARARAPES CONFECCOES SA</t>
  </si>
  <si>
    <t>CONSORCIO ALFA DE ADMINISTRACAO SA PREFERENCE SHARES SERIES E</t>
  </si>
  <si>
    <t>INVESTIMENTOS BEMGE SA PREFERENCE SHARES</t>
  </si>
  <si>
    <t>MARCOPOLO SA PREFERENCE SHARES</t>
  </si>
  <si>
    <t>COMPANHIA DE PARTICIPACOES ALIANCA BAHIA</t>
  </si>
  <si>
    <t>PETTENATI SA INDUSTRIA TEXTIL</t>
  </si>
  <si>
    <t>COMPANHIA DE GAS DE SAO PAULO - COMGAS</t>
  </si>
  <si>
    <t>SUL AMERICA SA PREFERENCE SHARES</t>
  </si>
  <si>
    <t>SLC AGRICOLA S.A.</t>
  </si>
  <si>
    <t>COMPANHIA DE GAS DE SAO PAULO - COMGAS PREFERENCE SHARES</t>
  </si>
  <si>
    <t>EQUATORIAL PARA DIST DE ENERGIA ORD SHS</t>
  </si>
  <si>
    <t>HAGA S/A INDUSTRIA E COMERCIO</t>
  </si>
  <si>
    <t>COMPANHIA DE FERRO LIGAS DA BAH FRBS</t>
  </si>
  <si>
    <t>ENGIE BRASIL ENERGIA SA</t>
  </si>
  <si>
    <t>SONDOTENICA ENGENHARIA DE SOLOS A PREF SHS</t>
  </si>
  <si>
    <t>GRENDENE SA</t>
  </si>
  <si>
    <t>RIO PARANAPANEMA ENERGIA SA PREFERENCE SHARES</t>
  </si>
  <si>
    <t>BAUMER SA PREFERENCE SHARES</t>
  </si>
  <si>
    <t>EVEN CONSTRUTORA E INCORPORADORA SA</t>
  </si>
  <si>
    <t>INVESTIMENTOS BEMGE SA</t>
  </si>
  <si>
    <t>SONDOTECNICA ENGENHARIA DE SOLOS SA</t>
  </si>
  <si>
    <t>COMPANHIA TECIDOS SANTANENSE</t>
  </si>
  <si>
    <t>CONSORCIO ALFA DE ADMINISTRACAO SERIES B PREF SHS</t>
  </si>
  <si>
    <t>UNICASA INDUSTRIA DE MOVEIS S/A</t>
  </si>
  <si>
    <t>CAMIL ALIMENTOS SA</t>
  </si>
  <si>
    <t>YDUQS PARTICIPACOES SA</t>
  </si>
  <si>
    <t>ALFA HOLDINGS SA PREFERENCE SHARES SERIES A</t>
  </si>
  <si>
    <t>MERCANTIL DO BRASIL FINANCEIRA SA CFI PREFERENCE SHARES</t>
  </si>
  <si>
    <t>CYRELA BRAZIL REALTY SA EMPRDTS E PRTPCS</t>
  </si>
  <si>
    <t>TELEFONICA BRASIL SA</t>
  </si>
  <si>
    <t>COMPANHIA DE PARTICIPACOES ALIANCA BAHIA PREFERENCE SHARES</t>
  </si>
  <si>
    <t>DIRECIONAL ENGENHARIA SA</t>
  </si>
  <si>
    <t>INSTITUTO HERMES PARDINI SA</t>
  </si>
  <si>
    <t>SUL AMERICA SA UNIT</t>
  </si>
  <si>
    <t>ENERGISA SA PREFERENCE SHARES</t>
  </si>
  <si>
    <t>EXCELSIOR ALIMENTOS SA PREFERENCE SHARES</t>
  </si>
  <si>
    <t>BANCO BTG PACTUAL SA PREFERENCE SHARES CLASS A</t>
  </si>
  <si>
    <t>METALURGICA GERDAU S.A.</t>
  </si>
  <si>
    <t>POMIFRUTAS SA</t>
  </si>
  <si>
    <t>COMPANHIA TECIDOS SANTANENSE PREFERENCE SHARES</t>
  </si>
  <si>
    <t>PANATLANTICA SA</t>
  </si>
  <si>
    <t>ENEVA SA</t>
  </si>
  <si>
    <t>ENERGISA SA UNIT</t>
  </si>
  <si>
    <t>KEPLER WEBER SA</t>
  </si>
  <si>
    <t>JOSAPAR JOAQUIM OLIVEIRA SA PRTCPCS</t>
  </si>
  <si>
    <t>EUCATEX SA INDUSTRIA E COMERCIO</t>
  </si>
  <si>
    <t>QUALICORP CONSULTORIA E CRA DE SES SA</t>
  </si>
  <si>
    <t>VALID SOLUCOES SA</t>
  </si>
  <si>
    <t>HYPERA SA</t>
  </si>
  <si>
    <t>METALURGICA GERDAU S.A. PREFERENCE SHARES</t>
  </si>
  <si>
    <t>AMBEV SA</t>
  </si>
  <si>
    <t>BANCO BTG PACTUAL SA UNIT</t>
  </si>
  <si>
    <t>M. DIAS BRANCO SA IND COM DE ALIMENTOS</t>
  </si>
  <si>
    <t>GERDAU SA</t>
  </si>
  <si>
    <t>MINERVA SA</t>
  </si>
  <si>
    <t>JOSAPAR JOAQUIM OLIVEIRA SA PRTCPCS PREFERENCE SHARES</t>
  </si>
  <si>
    <t>SAO CARLOS EMPREENDIMENTOS E PART. SA</t>
  </si>
  <si>
    <t>SER EDUCACIONAL SA</t>
  </si>
  <si>
    <t>SAO PAULO TURISMO SA PREFERENCE SHARES CLASS A</t>
  </si>
  <si>
    <t>BAUMER SA</t>
  </si>
  <si>
    <t>EZTEC EMPREENDIMENTOS E PARTICIPACOES SA</t>
  </si>
  <si>
    <t>AFLUENTE TRANSMISSAO DE ENERGIA ELTRC SA</t>
  </si>
  <si>
    <t>ENERGISA SA</t>
  </si>
  <si>
    <t>AREZZO INDUSTRIA E COMERCIO SA</t>
  </si>
  <si>
    <t>GERDAU SA PREFERENCE SHARES</t>
  </si>
  <si>
    <t>MULTIPLAN EMPREENDIMENT. IMOBILIARIOS SA</t>
  </si>
  <si>
    <t>SUL AMERICA SA</t>
  </si>
  <si>
    <t>SAO PAULO TURISMO SA</t>
  </si>
  <si>
    <t>LOG COMMERCIAL PROPERTIES E PARTICIPACOE</t>
  </si>
  <si>
    <t>FRAS-LE SA</t>
  </si>
  <si>
    <t>FLEURY SA</t>
  </si>
  <si>
    <t>ODONTOPREV SA</t>
  </si>
  <si>
    <t>PROFARMA DISTRIBUIDORA DE PRODUTS FRM SA</t>
  </si>
  <si>
    <t>PANATLANTICA SA PREFERENCE SHARES</t>
  </si>
  <si>
    <t>OURO FINO SAUDE ANIMAL PARTICIPACOES SA</t>
  </si>
  <si>
    <t>BANCO BTG PACTUAL SA</t>
  </si>
  <si>
    <t>EQUATORIAL PARA DIST ENERGIA PRF SHS C</t>
  </si>
  <si>
    <t>BANCO MERCANTIL DE INVESTIMENTOS SA PREFERENCE SHARES</t>
  </si>
  <si>
    <t>B3 SA BRASIL BOLSA BALCAO</t>
  </si>
  <si>
    <t>EQUATORIAL PARA DISTRIBUIDRA DE ENRGA SA</t>
  </si>
  <si>
    <t>BRASILAGRO COMPANHIA BRASLR PROPDS AGRCL</t>
  </si>
  <si>
    <t>COSAN SA</t>
  </si>
  <si>
    <t>CONSORCIO ALFA DE ADMINISTRACAO SA PREFERENCE SHARES SERIES A</t>
  </si>
  <si>
    <t>BANCO MERCANTIL DE INVESTIMENTOS SA</t>
  </si>
  <si>
    <t>LOCALIZA RENT A CAR SA</t>
  </si>
  <si>
    <t>ELETROBRAS PARTICIPACOES SA ELETROPAR</t>
  </si>
  <si>
    <t>LOJAS RENNER SA</t>
  </si>
  <si>
    <t>REDE ENERGIA PARTICIPACOES SA</t>
  </si>
  <si>
    <t>BICICLETAS MONARK SA</t>
  </si>
  <si>
    <t>ATACADAO SA</t>
  </si>
  <si>
    <t>COMPANHIA DISTRIBUIDORA D GS D RDJNR CEG</t>
  </si>
  <si>
    <t>DIMED SA DISTRIBUIDORA DE MEDICAMENTOS</t>
  </si>
  <si>
    <t>RAIA DROGASIL SA</t>
  </si>
  <si>
    <t>TOTVS SA</t>
  </si>
  <si>
    <t>MOVIDA PARTICIPACOES SA</t>
  </si>
  <si>
    <t>ALPARGATAS SA</t>
  </si>
  <si>
    <t>HAPVIDA PARTICIPACOES E INVESTIMENTOS SA</t>
  </si>
  <si>
    <t>EQUATORIAL PARA DIST ENERGIA PRF SHS B</t>
  </si>
  <si>
    <t>WEG SA</t>
  </si>
  <si>
    <t>ALPARGATAS SA PREFERENCE SHARES</t>
  </si>
  <si>
    <t>ULTRAPAR PARTICIPACOES SA</t>
  </si>
  <si>
    <t>MITRE REALTY EMPRNDMNTS E PRTCPCS SA</t>
  </si>
  <si>
    <t>RUMO SA</t>
  </si>
  <si>
    <t>ALIANSCE SONAE SHOPPING CENTERS SA</t>
  </si>
  <si>
    <t>RNI NEGOCIOS IMOBILIARIOS SA</t>
  </si>
  <si>
    <t>UNIPAR PARTICIPACOES B PREF SHS</t>
  </si>
  <si>
    <t>SAO PAULO TURISMO SA PREFERENCE SHARES CLASS B</t>
  </si>
  <si>
    <t>UNIPAR PARTICIPACOES A PREF SHS</t>
  </si>
  <si>
    <t>COMPANHIA CATARINENSE D AGS E SMNT CASAN</t>
  </si>
  <si>
    <t>UNIPAR CARBOCLORO SA</t>
  </si>
  <si>
    <t>MARFRIG GLOBAL FOODS SA</t>
  </si>
  <si>
    <t>MAGAZINE LUIZA SA</t>
  </si>
  <si>
    <t>CENTRO DE IMAGEM DIAGNOSTICOS SA</t>
  </si>
  <si>
    <t>LOCAWEB SERVICOS DE INTERNET SA</t>
  </si>
  <si>
    <t>DIAGNOSTICOS DA AMERICA SA</t>
  </si>
  <si>
    <t>VALE SA</t>
  </si>
  <si>
    <t>COMPANHIA ENERGETICA DE PERNAMBUCO B PREF SHS</t>
  </si>
  <si>
    <t>COMPANHIA ENERGETICA DE PERNAMBUCO</t>
  </si>
  <si>
    <t>COMPANHIA ENERGETICA DE PERNAMBUCO A PREF SHS</t>
  </si>
  <si>
    <t>BRADESPAR SA</t>
  </si>
  <si>
    <t>BRADESPAR SA PREFERENCE SHARES</t>
  </si>
  <si>
    <t>XP LOG FUNDO DE INVESTIMENTO IMOBILIARIO-FII</t>
  </si>
  <si>
    <t>FI IMOBILIARIO FII BTG PACTUAL FUNDO DE FUNDOS</t>
  </si>
  <si>
    <t>FII BTG PACTUAL CORPORATE OFFICE FUND</t>
  </si>
  <si>
    <t>HEDGE TOP FOF II 3 FI IMOBILIARIO</t>
  </si>
  <si>
    <t>CSHG LOGISTICA FND DE INVSTMNT IMBLR FII</t>
  </si>
  <si>
    <t>CSHG REAL ESTATE FI IMOBILIARIO-FII</t>
  </si>
  <si>
    <t>CSHG RENDA URBANA-FI IMOBILIARIO-FII</t>
  </si>
  <si>
    <t>KINEA RENDA IMOBILIARIA FII</t>
  </si>
  <si>
    <t>FUNDO DE INVESTIMENTO IMOBILIARIO - VBI LOGISTICO</t>
  </si>
  <si>
    <t>MAXI RENDA FUNDO DE INVESTIMENTO IMOBILIARIO - FII</t>
  </si>
  <si>
    <t>FII RIO BRAVO RENDA VAREJO-FII</t>
  </si>
  <si>
    <t>VINCI LOGISTICA FUNDO DE INVESTIMENTO IMOBILIARIO</t>
  </si>
  <si>
    <t>VINCI OFFICES FDO INV IMOB - FII VINC COR</t>
  </si>
  <si>
    <t>XP MALLS FUNDO DE INVESTIMENTO IMOBILIARIO</t>
  </si>
  <si>
    <t>BTG PACTUAL LOGISTICA FI IMOBILIARIO</t>
  </si>
  <si>
    <t>AES BRASIL ENERGIA SA</t>
  </si>
  <si>
    <t>HECTARE CE - FI IMOBILIARIO</t>
  </si>
  <si>
    <t>FI IMOBILIARIO IRIDIUM RECEBIVEIS IMOBILIARIOS</t>
  </si>
  <si>
    <t>HABITAT II-FUNDO DE INVESTIMENTO IMOBILIARIO</t>
  </si>
  <si>
    <t>ALIANZA TRUST RENDA IMOBILIARIA FII</t>
  </si>
  <si>
    <t>FI IMOBILIARIO BARIGUI RENDIMENTOS IMOBILIARIOS I</t>
  </si>
  <si>
    <t>FI IMOBILIARIO GRAND PLAZA SHOPPING</t>
  </si>
  <si>
    <t>AF INVEST CRI FII RECEBIVEIS IMOBILIARIOS</t>
  </si>
  <si>
    <t>AUTONOMY EDIFICIOS CORPORATIVOS FII</t>
  </si>
  <si>
    <t>FI IMOBILIARIO - FII TORRE ALMIRANTE</t>
  </si>
  <si>
    <t>RIZA ARCTIUM REAL ESTATE FII</t>
  </si>
  <si>
    <t>FI IMOBILIARIO ATRIO REIT RECEBIVEIS IMOBILIARIOS</t>
  </si>
  <si>
    <t>HEDGE ATRIUM SHOPPING SANTO ANDRE FII</t>
  </si>
  <si>
    <t>BB FUNDO DE INVESTIMENTO IMOBILIARIO PROGRESSIVO</t>
  </si>
  <si>
    <t>BB FUNDO DE FUNDOS FI IMOBILIARIO</t>
  </si>
  <si>
    <t>BB RECEBIVEIS IMOBILIARIOS FII</t>
  </si>
  <si>
    <t>BB PROGRESSIVO II FI IMOBILIARIO FII</t>
  </si>
  <si>
    <t>BB RENDA CORPORATIVA FI IMOBILIARIO FII</t>
  </si>
  <si>
    <t>BANESTES RECEBIVEIS IMOBILIARIOS FII</t>
  </si>
  <si>
    <t>INTER TITULOS IMOBILIARIOS FUNDO DE INVESTIMENTO IMOBILIARIO CLOSED FUND</t>
  </si>
  <si>
    <t>BLUECAP RENDA LOGISTICA FII - FII</t>
  </si>
  <si>
    <t>BLUEMACAW CREDITO IMOBILIARIO FI IMOBILIARIO</t>
  </si>
  <si>
    <t>BLUEMACAW LOGISTICA FII</t>
  </si>
  <si>
    <t>BLUEMACAW RENDA+ FOF FII</t>
  </si>
  <si>
    <t>BANRISUL NOVAS FRONTEIRAS FII</t>
  </si>
  <si>
    <t>FII - FII BRASIL PLURAL ABSOLUTO FUNDO DE FUNDOS</t>
  </si>
  <si>
    <t>FI IMOBILIARIO BTG PACTUAL SHOPPINGS CLOSED FUND</t>
  </si>
  <si>
    <t>BRESCO LOGISTICA FUNDO DE INVESTIMENTO IMOBILIARO ETF</t>
  </si>
  <si>
    <t>BRAZIL REAL ESTATE VICTORY FUND I - FII</t>
  </si>
  <si>
    <t>FUNDO DE INVESTIMENTO IMOBILIARIO BRL PROP II</t>
  </si>
  <si>
    <t>FI IMOBILIARIO BTG PACTUAL AGRO LOGISTICA</t>
  </si>
  <si>
    <t>FI IMOBILIARIO BTG PACTUAL CREDITO IMOBILIARIO</t>
  </si>
  <si>
    <t>FI IMOBILIARIO BTG PACTUAL TERRAS AGRICOLAS</t>
  </si>
  <si>
    <t>TC BTOWERS FUNDO INVESTIMENTO IMOBILIARIO CLOSED FUND</t>
  </si>
  <si>
    <t>BRAZIL REALTY FI IMOBILIARIO</t>
  </si>
  <si>
    <t>BRAZILIAN GRAVEYARD AND DEATH CARE SERVICES FII</t>
  </si>
  <si>
    <t>CASTELLO BRANCO OFFICE PARK FI IMOBILIARIO FII</t>
  </si>
  <si>
    <t>FI IMOBILIARIO - CEO CYRELA COMMERCIAL PROPERTIES</t>
  </si>
  <si>
    <t>CIDADE JARDIM CONTINENTAL TOWER FII - UNICA</t>
  </si>
  <si>
    <t>FI IMOBILIARIO - FII CENESP</t>
  </si>
  <si>
    <t>CAPITANIA REIT FOF - FI IMOBILIARIO</t>
  </si>
  <si>
    <t>CAPITANIA SECURITIES II FUNDO DE INVESTIMENTO IMOBILIARIO CLOSED FUND</t>
  </si>
  <si>
    <t>CAIXA RIO BRAVO FF DE INVESTIMENTO IMOBILIARIO II</t>
  </si>
  <si>
    <t>FI IMOBILIARIO CENTRO TEXTIL INTERNACIONAL</t>
  </si>
  <si>
    <t>FI IMOBILIARIO - VBI CRI</t>
  </si>
  <si>
    <t>FII CAIXA IMOVEIS CORPORATIVOS - UNICA</t>
  </si>
  <si>
    <t>DEVANT RECEBIVEIS IMOBILIARIOS FII</t>
  </si>
  <si>
    <t>FI IMOBILIARIO - FII EDIFICIO GALERIA</t>
  </si>
  <si>
    <t>FII EUROPAR</t>
  </si>
  <si>
    <t>VBI CONSUMO ESSEN FDO INVEST IMOB CLOSED FUND</t>
  </si>
  <si>
    <t>FI IMOBILIARIO ANHANGUERA EDUCACIONAL</t>
  </si>
  <si>
    <t>FUNDO DE INVESTIMENTO IMOBILIARIO ATHENA I</t>
  </si>
  <si>
    <t>FI IMOBILIARIO CAMPUS FARIA LIMA</t>
  </si>
  <si>
    <t>FI IMOBILIARIO-FII BTG PACTUAL FUNDO DE CRI</t>
  </si>
  <si>
    <t>FII GENERAL SHOPPING ATIVO E RENDA - FII</t>
  </si>
  <si>
    <t>FII INDUSTRIAL DO BRASIL</t>
  </si>
  <si>
    <t>FI IMOBILIARIO SC 401</t>
  </si>
  <si>
    <t>FII VIDA NOVA</t>
  </si>
  <si>
    <t>FARIA LIMA CAPITAL RECEBIVEIS IMOBILIARIOS I - FII</t>
  </si>
  <si>
    <t>FI IMOBILIARIO CONTINENTAL SQUARE FARIA LIMA</t>
  </si>
  <si>
    <t>FI IMOBILIARIO FII FLORIPA SHOPPING</t>
  </si>
  <si>
    <t>FII MEMORIAL OFFICE</t>
  </si>
  <si>
    <t>FI IMOBILIARIO PROJETO AGUA BRANCA</t>
  </si>
  <si>
    <t>FI IMOBILIARIO VIA PARQUE SHOPPING-FII</t>
  </si>
  <si>
    <t>FI IMOBILIARIO GUARDIAN LOGISTICA UNICA</t>
  </si>
  <si>
    <t>GALAPAGOS FUNDO DE FUNDOS FII FI IMOBILIARIO</t>
  </si>
  <si>
    <t>GALAPAGOS RECEBIVEIS IMOBILIARIOS FI IMOBILIARIO</t>
  </si>
  <si>
    <t>GGR COVEPI RENDA FII</t>
  </si>
  <si>
    <t>GENERAL SHOPPING E OUTLETS DO BRASIL FII</t>
  </si>
  <si>
    <t>FUNDO INVESTIMENTO IMOBILIARIO GREEN TOWERS</t>
  </si>
  <si>
    <t>HEDGE AAA FUNDO DE INVESTIMENTO IMOBILIARIO</t>
  </si>
  <si>
    <t>FI IMOBILIARIO MULTI RENDA URBANA</t>
  </si>
  <si>
    <t>HECTARE RECEBIVEIS HIGH GRADE FII</t>
  </si>
  <si>
    <t>FII HOSPITAL DA CRIANCA</t>
  </si>
  <si>
    <t>HEDGE BRASIL SHOPPING FI IMOBILIARIO</t>
  </si>
  <si>
    <t>CSHG RECEBIVEIS IMOBILIARIOS FII</t>
  </si>
  <si>
    <t>CSHG IMOBILIARIO FOF FII</t>
  </si>
  <si>
    <t>HGI CREDITOS IMOBILIARIOS FII</t>
  </si>
  <si>
    <t>CSHG PRIME OFFICES FII - FII</t>
  </si>
  <si>
    <t>HEDGE LOGISTICA FUNDO DE INVESTIMENTO IMOBILIARIO CLOSED FUND</t>
  </si>
  <si>
    <t>FUNDO DE INVESTIMENTO IMOBILIARIO HOUSI</t>
  </si>
  <si>
    <t>HEDGE SHOPPING PARQUE DOM PEDRO FII CLOSED FUND</t>
  </si>
  <si>
    <t>HEDGE RECEBIVEIS IMOBILIARIOS FII</t>
  </si>
  <si>
    <t>HSI ATIVOS FNNCRS FND D INVSTMNT IMBLRI</t>
  </si>
  <si>
    <t>HSI LOG I FI IMOBILIARIO</t>
  </si>
  <si>
    <t>HSI MALLS FUNDO DE INVESTIMENTO IMOBILIARIO</t>
  </si>
  <si>
    <t>HSI REALTY I FI IMOBILIARIO</t>
  </si>
  <si>
    <t>FI IMOBILIARIO - FII HOTEL MAXINVEST</t>
  </si>
  <si>
    <t>FII HOSPITAL UNIMED SUL CAPIXABA</t>
  </si>
  <si>
    <t>JFL LIVING FI IMOBILIARIO CLASSE UNICA</t>
  </si>
  <si>
    <t>FI IMOBILIARIO-FII JARDIM SUL</t>
  </si>
  <si>
    <t>JS REAL ESTATE MULTIGESTAO FII</t>
  </si>
  <si>
    <t>FUNDO DE FI IMOBILIARIO KINEA FII</t>
  </si>
  <si>
    <t>EVEN PERMUTA KINEA FII</t>
  </si>
  <si>
    <t>KILIMA FI EM COTAS FDO IMOB SUNO 30</t>
  </si>
  <si>
    <t>KINEA RENDIMENTOS IMOBILIARIOS FII</t>
  </si>
  <si>
    <t>KINEA HIGH YIELD CRI FI IMOBILIARIO-FII</t>
  </si>
  <si>
    <t>KINEA INDICES DE PRECOS FII</t>
  </si>
  <si>
    <t>KINEA II REAL ESTATE EQUITY FII</t>
  </si>
  <si>
    <t>KINEA SECURITIES FI IMOBILIARIO FII</t>
  </si>
  <si>
    <t>LEGATUS SHOPPINGS FI IMOBILIARIO FII</t>
  </si>
  <si>
    <t>LOGCP INTER FUNDO DE INVESTIMENTO IMOBILIARIO CLOSED FUND</t>
  </si>
  <si>
    <t>LUGGO FUNDO DE INVESTIMENTO IMOBILIARIO</t>
  </si>
  <si>
    <t>MALLS BRASIL PLURAL FI IMOBILIARIO</t>
  </si>
  <si>
    <t>FI IMOBILIARIO FII MAX RETAIL</t>
  </si>
  <si>
    <t>FII MERCANTIL DO BRASIL</t>
  </si>
  <si>
    <t>FII MAUA CAPITAL RECEBIVEIS IMOBILIARIOS FII</t>
  </si>
  <si>
    <t>FI IMOBILIARIO MAUA CAPITAL HIGH YIELD FII</t>
  </si>
  <si>
    <t>MERITO FUNDOS DE ACOES IMOBILIARIAS FII CLOSED FUND</t>
  </si>
  <si>
    <t>MERITO DESENVOLVIMENTO IMOBILIARIO I FII</t>
  </si>
  <si>
    <t>FII MOGNO CERTIFICADOS DE RECEB IMOB HIGH GRADE</t>
  </si>
  <si>
    <t>FI IMOBILIARIO MOGNO FUNDO DE FUNDOS</t>
  </si>
  <si>
    <t>FUNDO DE INVESTIMENTO IMOBILIARIO MOGNO HOTEIS</t>
  </si>
  <si>
    <t>MORE REAL ESTATE FOF FII FI IMOBILIARIO</t>
  </si>
  <si>
    <t>NAVI IMOBILIARIO FOF DE INVESTIMENTO IMOBILIARIO</t>
  </si>
  <si>
    <t>BRASIL PLURAL II - FII</t>
  </si>
  <si>
    <t>RENDA DE ESCRITORS FNDO DE INVTO IMOFII</t>
  </si>
  <si>
    <t>FII HOSPITAL NOSSA SENHORA DE LOURDES</t>
  </si>
  <si>
    <t>FI IMOBILIARIO NOVO HORIZONTE</t>
  </si>
  <si>
    <t>FUNDO DE INVESTIMENTO IMOBILIARIO VBI LOGISTICO</t>
  </si>
  <si>
    <t>FUNDO DE INVESTIMENTO IMOBILIARIO THE ONE</t>
  </si>
  <si>
    <t>OURINVEST JPP FI IMOBILIARIO</t>
  </si>
  <si>
    <t>FUNDO DE INVESTIMENTO IMOBILIARIO OURINVEST LOGISTICA CLOSED FUND</t>
  </si>
  <si>
    <t>FUNDO DE INVEST IMOB OURINVEST RENDA ESTRUTURADA CF</t>
  </si>
  <si>
    <t>FUNDO DE INVESTIMENTO IMOBILIARIO PANAMBY</t>
  </si>
  <si>
    <t>PATRIA EDIFICIOS CORPORATIVOS FI IMOBILIARIO-FII</t>
  </si>
  <si>
    <t>PATRIA LOGISTICA FUNDO DE INVESTIMENTO IMOBILIARIO</t>
  </si>
  <si>
    <t>PLURAL RECEBIVEIS IMOBILIARIOS FII</t>
  </si>
  <si>
    <t>PLURAL LOGISTICA FUNDO DE INVESTIMENTO IMOBILIARIO</t>
  </si>
  <si>
    <t>POLO FII RECEBIVEIS IMOBILIARIOS I</t>
  </si>
  <si>
    <t>POLO CREDITO IMOBILIARIO - FII</t>
  </si>
  <si>
    <t>PARQUE ANHANGUERA FII UNICA</t>
  </si>
  <si>
    <t>FII - FII PARQUE DOM PEDRO SHOPPING CENTER</t>
  </si>
  <si>
    <t>FI IMOBILIARIO VBI PRIME PROPERTIES</t>
  </si>
  <si>
    <t>QUASAR AGRO - FUNDO DE INVESTIMENTO IMOBILIARIO</t>
  </si>
  <si>
    <t>RB CAPITAL DESENVOLVIMENTO RESIDENCIAL II FII</t>
  </si>
  <si>
    <t>RIO BRAVO CREDITO IMOBILIARIO HIGH GRADE FII</t>
  </si>
  <si>
    <t>RIO BRAVO CREDITO IMOBILIARIO HIGH YIELD FII UNICA</t>
  </si>
  <si>
    <t>RB CAP DESENV RESIDENCIAL IV FII</t>
  </si>
  <si>
    <t>RB CAPITAL LOGISTICO FI IMOBILIARIO FII</t>
  </si>
  <si>
    <t>RB CAPITAL RENDA II FI IMOBILIARIO</t>
  </si>
  <si>
    <t>FI IMOBILIARIO RBR ALPHA FUNDO DE FUNDOS</t>
  </si>
  <si>
    <t>RBR LOG FUNDO DE INVESTIMENTO IMOBILIARIO</t>
  </si>
  <si>
    <t>FI IMOBILIARIO RBR PROPERTIES - FII</t>
  </si>
  <si>
    <t>FI IMOBILIARIO RBR RENDIMENTO HIGH GRADE</t>
  </si>
  <si>
    <t>RIO BRAVO RENDA RESIDENCIAL FI IMOBILIARIO</t>
  </si>
  <si>
    <t>FDO INV IMOB RBR PRIVATE CREDITO IMOB CEF</t>
  </si>
  <si>
    <t>RIO BRAVO CREDITO IMOBILIARIO II FII</t>
  </si>
  <si>
    <t>FI IMOBILIARIO RIO BRAVO RENDA CORPORATIVA</t>
  </si>
  <si>
    <t>BB RENDA PAPEIS IMOBILIARIOS II FII</t>
  </si>
  <si>
    <t>FII REC RECEBIVEIS IMOBILIARIOS</t>
  </si>
  <si>
    <t>FI IMOBILIARIO - FII REC RENDA IMOBILIARIA</t>
  </si>
  <si>
    <t>FI IMOBILIARIO REC FUNDO DE FUNDOS</t>
  </si>
  <si>
    <t>FUNDO DE INVESTIMENTO IMOBILIARIO REC LOGISTICA</t>
  </si>
  <si>
    <t>FII RB CAPITAL I FUNDO DE FUNDOS</t>
  </si>
  <si>
    <t>BB RENDA DE PAPEIS IMOBILIARIOS FI IMOBILIARIO FII</t>
  </si>
  <si>
    <t>FII IMOBILIARIO RIO NEGRO</t>
  </si>
  <si>
    <t>RB CAPITAL RECEBIVEIS IMOBILIARIOS FII UNICA</t>
  </si>
  <si>
    <t>VBI REITS FOF - FUNDO DE INVESTIMENTO IMOBILIARIO</t>
  </si>
  <si>
    <t>RIZA AKIN FUNDO DE INVESTIMENTO IMOBILIARIO FII</t>
  </si>
  <si>
    <t>FI IMOBILIARIO RIZA TERRAX UNICA</t>
  </si>
  <si>
    <t>SANTANDER PAPEIS IMOBILIARIOS CDI FII</t>
  </si>
  <si>
    <t>SANTANDER RENDA DE ALUGUEIS FII</t>
  </si>
  <si>
    <t>SCP FUNDO INVESTIMENTO IMOBILIARIO</t>
  </si>
  <si>
    <t>FII SDI RIO BRAVO RENDA LOGISTICA</t>
  </si>
  <si>
    <t>SEQUOIA III RENDA IMOBILIARIA FII</t>
  </si>
  <si>
    <t>FII SHOPPING PATIO HIGIENOPOLIS</t>
  </si>
  <si>
    <t>SUNO FUNDO DE FUNDOS DE INVESTIMENTO IMOBILIARIO</t>
  </si>
  <si>
    <t>SP DOWNTOWN FUNDO INVESTIMENTO IMOBILIARIO - FII</t>
  </si>
  <si>
    <t>STARX FI IMOBILIARIO</t>
  </si>
  <si>
    <t>TELLUS PROPERTIES FUNDO DE INVESTIMENTO IMOBILIARIO CLOSED FUND</t>
  </si>
  <si>
    <t>FII TG ATIVO REAL</t>
  </si>
  <si>
    <t>TORDESILHAS EI FUNDO DE INVESTIMENTO IMOBILIARIO CLOSED FUND</t>
  </si>
  <si>
    <t>FI IMOBILIARIO - FII TORRE NORTE</t>
  </si>
  <si>
    <t>TRX REAL ESTATE FII CLOSED FUND</t>
  </si>
  <si>
    <t>URCA PRIME RENDA FII CLOSED FUND</t>
  </si>
  <si>
    <t>VECTIS JUROS REAL FI IMOBILIARIO FII</t>
  </si>
  <si>
    <t>VECTIS RENDA RESIDENCIAL FII - 1</t>
  </si>
  <si>
    <t>VALORA HEDGE FUND FI IMOBILIARIO - FII - UNICA</t>
  </si>
  <si>
    <t>VALORA CRI INDICE DE PRECO FI IMOBILIARIO - FII</t>
  </si>
  <si>
    <t>VALORA RE III FI IMOBILIARIO-FII</t>
  </si>
  <si>
    <t>VINCI INSTRUMENTOS FINANCEIROS FUNDO DE INVESTIMENTO IMOBILIARIO CLOSED FUND</t>
  </si>
  <si>
    <t>VINCI SHOPPING CENTERS FI IMOBILIARIO</t>
  </si>
  <si>
    <t>VINCI IMOVEIS URBANOS FI IMOBILIARIO</t>
  </si>
  <si>
    <t>FI IMOBILIARIO - FII VILA OLIMPIA CORPORATE</t>
  </si>
  <si>
    <t>VOTORANTIM SECURITIES MASTER FII-FII</t>
  </si>
  <si>
    <t>FATOR VERITA FUNDO INVESTIMENTO IMOBILIARIO - FII</t>
  </si>
  <si>
    <t>FI IMOBILIARIO VOTORANTIM SHOPPING</t>
  </si>
  <si>
    <t>VERSALHES RECEBIVEIS IMOBILIARIOS - FII</t>
  </si>
  <si>
    <t>FI IMOBILIARIO VOTORANTIM LOGISTICA</t>
  </si>
  <si>
    <t>FUNDO DE INVESTIMENTO IMOBILIARIO V2 PROPERTIES CLOSED FUND</t>
  </si>
  <si>
    <t>SHOPPING WEST PLAZA FI IMOBILIARIO</t>
  </si>
  <si>
    <t>XP CREDITO IMOBILIARIO FDO INV MOB</t>
  </si>
  <si>
    <t>XP CORPORATE MACAE FI IMOBILIARIO</t>
  </si>
  <si>
    <t>XP HOTEIS - FDO INV IMOB - FII</t>
  </si>
  <si>
    <t>XP INDUSTRIAL FUNDO DE INVESTIMENTO IMOBILIARIO</t>
  </si>
  <si>
    <t>XP PROPERTIES FII - FII</t>
  </si>
  <si>
    <t>XP SELECTION FUNDO DE FUNDOS INV IMOB FII</t>
  </si>
  <si>
    <t>TRX EDIFICIOS CORPORATIVOS FII</t>
  </si>
  <si>
    <t>Loft II Fundo de Investimento Imobiliario A</t>
  </si>
  <si>
    <t>LOFT II FUNDO DE INVESTIMENTO IMOBILIARIO A</t>
  </si>
  <si>
    <t>R$ 50,01</t>
  </si>
  <si>
    <t>R$ 10,69</t>
  </si>
  <si>
    <t>Quata Imob Recebiveis Imobiliarios - FII</t>
  </si>
  <si>
    <t>QUATA IMOB RECEBIVEIS IMOBILIARIOS - FII</t>
  </si>
  <si>
    <t>R$ 89,00</t>
  </si>
  <si>
    <t>R$ 105,49</t>
  </si>
  <si>
    <t>Estoque Residencial Rio FII SEN</t>
  </si>
  <si>
    <t>ESTOQUE RESIDENCIAL RIO FII SEN</t>
  </si>
  <si>
    <t>Presidente Vargas FI Imobiliario - Classe Unica</t>
  </si>
  <si>
    <t>PRESIDENTE VARGAS FI IMOBILIARIO - CLASSE UNICA</t>
  </si>
  <si>
    <t>R$ 46,01</t>
  </si>
  <si>
    <t>fii</t>
  </si>
  <si>
    <t>Bradesco Carteira Imobiliaria Ativa - Fundo de FII</t>
  </si>
  <si>
    <t>BRADESCO CARTEIRA IMOBILIARIA ATIVA - FUNDO DE FII</t>
  </si>
  <si>
    <t>FII - Ourinvest Fundo de Fundos - Unica</t>
  </si>
  <si>
    <t>FII - OURINVEST FUNDO DE FUNDOS - UNICA</t>
  </si>
  <si>
    <t>FI Imob Rio Bravo Renda Educacional - FII - Unica</t>
  </si>
  <si>
    <t>FI IMOB RIO BRAVO RENDA EDUCACIONAL - FII - UNICA</t>
  </si>
  <si>
    <t>Rio Bravo Fundo de FII</t>
  </si>
  <si>
    <t>RIO BRAVO FUNDO DE FII</t>
  </si>
  <si>
    <t>Caixa Rio Bravo FF de Invest Imobiliario - FII</t>
  </si>
  <si>
    <t>CAIXA RIO BRAVO FF DE INVEST IMOBILIARIO - FII</t>
  </si>
  <si>
    <t>R$ 421,01</t>
  </si>
  <si>
    <t>R$ 410,00</t>
  </si>
  <si>
    <t>Energy of Minas Gerais Co</t>
  </si>
  <si>
    <t>ENERGY OF MINAS GERAIS CO</t>
  </si>
  <si>
    <t>Brazilian Electric Power Co</t>
  </si>
  <si>
    <t>BRAZILIAN ELECTRIC POWER CO</t>
  </si>
  <si>
    <t>Brazilian Electric Power Co Preference Shares Series B</t>
  </si>
  <si>
    <t>BRAZILIAN ELECTRIC POWER CO PREFERENCE SHARES SERIES B</t>
  </si>
  <si>
    <t>Brazilian Electric Power Co Preference Shares Series A</t>
  </si>
  <si>
    <t>BRAZILIAN ELECTRIC POWER CO PREFERENCE SHARES SERIES A</t>
  </si>
  <si>
    <t>Energy of Minas Gerais Co Preference Shares</t>
  </si>
  <si>
    <t>ENERGY OF MINAS GERAIS CO PREFERENCE SHARES</t>
  </si>
  <si>
    <t>Companhia Siderurgica Nacional SA</t>
  </si>
  <si>
    <t>COMPANHIA SIDERURGICA NACIONAL SA</t>
  </si>
  <si>
    <t>Companhia Brasileira de Distribuicao SA</t>
  </si>
  <si>
    <t>COMPANHIA BRASILEIRA DE DISTRIBUICAO SA</t>
  </si>
  <si>
    <t>FI Imobiliario Caixa Seq Logistica Renda</t>
  </si>
  <si>
    <t>FI IMOBILIARIO CAIXA SEQ LOGISTICA RENDA</t>
  </si>
  <si>
    <t>Renova Energia SA Em Recuperaco Judicial</t>
  </si>
  <si>
    <t>RENOVA ENERGIA SA EM RECUPERACO JUDICIAL</t>
  </si>
  <si>
    <t>Renova Energia SA Em Recuperaco Judicial Unit</t>
  </si>
  <si>
    <t>RENOVA ENERGIA SA EM RECUPERACO JUDICIAL UNIT</t>
  </si>
  <si>
    <t>Renova Energia SA Em Recuperaco Judicial Preference Shares</t>
  </si>
  <si>
    <t>RENOVA ENERGIA SA EM RECUPERACO JUDICIAL PREFERENCE SHARES</t>
  </si>
  <si>
    <t>R$ 35,09</t>
  </si>
  <si>
    <t>PDG Realty SA Emprendmnts e Prtcpacs</t>
  </si>
  <si>
    <t>PDG REALTY SA EMPRENDMNTS E PRTCPACS</t>
  </si>
  <si>
    <t>Compnh Estdl de Tra de Enrg Eltrc CEEE-T</t>
  </si>
  <si>
    <t>COMPNH ESTDL DE TRA DE ENRG ELTRC CEEE-T</t>
  </si>
  <si>
    <t>Compnh Estdl de Tra de Enrg Eltrc CEEE-T Preference Shares</t>
  </si>
  <si>
    <t>COMPNH ESTDL DE TRA DE ENRG ELTRC CEEE-T PREFERENCE SHARES</t>
  </si>
  <si>
    <t>Mogno Suno Logistica FI Imobiliario</t>
  </si>
  <si>
    <t>MOGNO SUNO LOGISTICA FI IMOBILIARIO</t>
  </si>
  <si>
    <t>Genesis Multiestrategia FI Imobiliario FII</t>
  </si>
  <si>
    <t>GENESIS MULTIESTRATEGIA FI IMOBILIARIO FII</t>
  </si>
  <si>
    <t>Banco do Nordeste do Brasil SA</t>
  </si>
  <si>
    <t>BANCO DO NORDESTE DO BRASIL SA</t>
  </si>
  <si>
    <t>Banco do Estado do Para SA</t>
  </si>
  <si>
    <t>BANCO DO ESTADO DO PARA SA</t>
  </si>
  <si>
    <t>R$ 15,50</t>
  </si>
  <si>
    <t>R$ 41,35</t>
  </si>
  <si>
    <t>23/12/2020</t>
  </si>
  <si>
    <t>21/09/2020</t>
  </si>
  <si>
    <t>02/09/2020</t>
  </si>
  <si>
    <t>19/08/2020</t>
  </si>
  <si>
    <t>15/07/2020</t>
  </si>
  <si>
    <t>25/06/2020</t>
  </si>
  <si>
    <t>17/06/2020</t>
  </si>
  <si>
    <t>01/06/2020</t>
  </si>
  <si>
    <t>29/04/2020</t>
  </si>
  <si>
    <t>17/04/2020</t>
  </si>
  <si>
    <t>13/04/2020</t>
  </si>
  <si>
    <t>24/11/2021</t>
  </si>
  <si>
    <t>03/11/2021</t>
  </si>
  <si>
    <t>29/10/2021</t>
  </si>
  <si>
    <t>29/09/2021</t>
  </si>
  <si>
    <t>27/09/2021</t>
  </si>
  <si>
    <t>20/09/2021</t>
  </si>
  <si>
    <t>24/08/2021</t>
  </si>
  <si>
    <t>24/06/2021</t>
  </si>
  <si>
    <t>05/04/2021</t>
  </si>
  <si>
    <t>17/02/2021</t>
  </si>
  <si>
    <t>26/07/2022</t>
  </si>
  <si>
    <t>12/07/2022</t>
  </si>
  <si>
    <t>24/06/2022</t>
  </si>
  <si>
    <t>20/05/2022</t>
  </si>
  <si>
    <t>05/05/2022</t>
  </si>
  <si>
    <t>28/04/2022</t>
  </si>
  <si>
    <t>27/04/2022</t>
  </si>
  <si>
    <t>03/03/2022</t>
  </si>
  <si>
    <t>03/01/2022</t>
  </si>
  <si>
    <t>AÇÃO</t>
  </si>
  <si>
    <t>ENERGIA ELÉTRICA</t>
  </si>
  <si>
    <t>TIPO</t>
  </si>
  <si>
    <t>R$ 18,90</t>
  </si>
  <si>
    <t>SANTANDER CORRETORA DE CAMBIO E VALORES MOBILIARIOS S.A</t>
  </si>
  <si>
    <t>Juros Sobre Capital Próprio</t>
  </si>
  <si>
    <t>Dividendo</t>
  </si>
  <si>
    <t>28/12/2020</t>
  </si>
  <si>
    <t>15/12/2020</t>
  </si>
  <si>
    <t>14/12/2020</t>
  </si>
  <si>
    <t>07/12/2020</t>
  </si>
  <si>
    <t>27/11/2020</t>
  </si>
  <si>
    <t>16/11/2020</t>
  </si>
  <si>
    <t>13/11/2020</t>
  </si>
  <si>
    <t>09/11/2020</t>
  </si>
  <si>
    <t>15/10/2020</t>
  </si>
  <si>
    <t>07/10/2020</t>
  </si>
  <si>
    <t>30/09/2020</t>
  </si>
  <si>
    <t>25/09/2020</t>
  </si>
  <si>
    <t>15/09/2020</t>
  </si>
  <si>
    <t>31/08/2020</t>
  </si>
  <si>
    <t>26/08/2020</t>
  </si>
  <si>
    <t>14/08/2020</t>
  </si>
  <si>
    <t>24/07/2020</t>
  </si>
  <si>
    <t>16/07/2020</t>
  </si>
  <si>
    <t>14/07/2020</t>
  </si>
  <si>
    <t>15/06/2020</t>
  </si>
  <si>
    <t>14/04/2020</t>
  </si>
  <si>
    <t>13/03/2020</t>
  </si>
  <si>
    <t>06/03/2020</t>
  </si>
  <si>
    <t>21/02/2020</t>
  </si>
  <si>
    <t>14/02/2020</t>
  </si>
  <si>
    <t>Rótulos de Linha</t>
  </si>
  <si>
    <t>Total Geral</t>
  </si>
  <si>
    <t>ANO</t>
  </si>
  <si>
    <t>MÊS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</si>
  <si>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</si>
  <si>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</si>
  <si>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</si>
  <si>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</si>
  <si>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</si>
  <si>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</si>
  <si>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</si>
  <si>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</si>
  <si>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COTAS ADQUIRIDAS</t>
  </si>
  <si>
    <t>VARIAÇÃO PM</t>
  </si>
  <si>
    <t>Mills Locacao Servicos E Logistica SA</t>
  </si>
  <si>
    <t>MILLS LOCACAO SERVICOS E LOGISTICA SA</t>
  </si>
  <si>
    <t>R$ 8,23</t>
  </si>
  <si>
    <t>R$ 17,00</t>
  </si>
  <si>
    <t>R$ 66,40</t>
  </si>
  <si>
    <t>JPP Capital Recebiveis Imobiliarios FII</t>
  </si>
  <si>
    <t>JPP CAPITAL RECEBIVEIS IMOBILIARIOS FII</t>
  </si>
  <si>
    <t>R$ 20,00</t>
  </si>
  <si>
    <t>R$ 7,00</t>
  </si>
  <si>
    <t>R$ 12,03</t>
  </si>
  <si>
    <t>R$ 12,81</t>
  </si>
  <si>
    <t>R$ 40,11</t>
  </si>
  <si>
    <t>Produto</t>
  </si>
  <si>
    <t>Tipo de Evento</t>
  </si>
  <si>
    <t>Instituição</t>
  </si>
  <si>
    <t>Preço unitário</t>
  </si>
  <si>
    <t>Valor líquido</t>
  </si>
  <si>
    <t>CMIG3 - CIA. ENERGETICA DE MINAS GERAIS- CEMIG</t>
  </si>
  <si>
    <t>30/12/2020</t>
  </si>
  <si>
    <t>TAEE4 - TRANSMISSORA ALIANCA DE ENERGIA ELETRICA S/A</t>
  </si>
  <si>
    <t>SANB4 - BANCO SANTANDER (BRASIL) S.A.</t>
  </si>
  <si>
    <t>XPML11 - XP MALLS FDO INV IMOB FII</t>
  </si>
  <si>
    <t>Rendimento</t>
  </si>
  <si>
    <t>RBVA11 - FDO INV IMOB RIO BRAVO RENDA VAREJO - FII</t>
  </si>
  <si>
    <t>BCFF11 - FDO INV IMOB - FII BTG PACTUAL FUNDO DE FUNDOS</t>
  </si>
  <si>
    <t>BRCR11 - FDO INV IMOB - FII BTG PACTUAL CORPORATE OFFICE FUND</t>
  </si>
  <si>
    <t>HGLG11 - CSHG LOGISTICA FUNDO DE INVESTIMENTO IMOBILIARIO - FII</t>
  </si>
  <si>
    <t>HGRE11 - CSHG REAL ESTATE FDO INV IMOB - FII</t>
  </si>
  <si>
    <t>HGRU11 - CSHG RENDA URBANA - FUNDO DE INVESTIMENTO IMOBILIARIO - FII</t>
  </si>
  <si>
    <t>KNRI11 - KINEA RENDA IMOBILIÁRIA FDO INV IMOB - FII</t>
  </si>
  <si>
    <t>MXRF11 - MAXI RENDA FUNDO DE INVESTIMENTO IMOBILIARIO - FII</t>
  </si>
  <si>
    <t>VILG11 - FII VINCILOG</t>
  </si>
  <si>
    <t>VINO11 - VINCI OFFICES FUNDO DE INVESTIMENTO IMOBILIARIO</t>
  </si>
  <si>
    <t>XPLG11 - XP LOG FUNDO DE INVESTIMENTO IMOBILIARIO FII</t>
  </si>
  <si>
    <t xml:space="preserve">LVBI11 - FII VBI LOG </t>
  </si>
  <si>
    <t>BBAS3 - BANCO DO BRASIL S/A</t>
  </si>
  <si>
    <t>TRPL4 - CTEEP - CIA TRANSMISSÃO ENERGIA ELÉTRICA PAULISTA</t>
  </si>
  <si>
    <t>B3SA3 - B3 S.A. – BRASIL, BOLSA, BALCÃO</t>
  </si>
  <si>
    <t>30/12/2021</t>
  </si>
  <si>
    <t>29/12/2021</t>
  </si>
  <si>
    <t>ALZR11 - ALIANZA TRUST RENDA IMOBILIARIA - FUNDO DE INVESTIMENTO IMOBILIARIO</t>
  </si>
  <si>
    <t>23/12/2021</t>
  </si>
  <si>
    <t>BTLG11 - BTG PACTUAL LOGISTICA FUNDO DE INVESTIMENTO IMOBILIARIO</t>
  </si>
  <si>
    <t>IRDM11 - FII IRIDIUM RECEBIVEIS IMOBILIARIOS</t>
  </si>
  <si>
    <t>16/12/2021</t>
  </si>
  <si>
    <t>15/12/2021</t>
  </si>
  <si>
    <t>14/12/2021</t>
  </si>
  <si>
    <t>HCTR11 - HECTARE CE - FUNDO DE INVESTIMENTO IMOBILIÁRIO</t>
  </si>
  <si>
    <t>VILG11 - FII VINCI LG</t>
  </si>
  <si>
    <t>07/12/2021</t>
  </si>
  <si>
    <t>03/12/2021</t>
  </si>
  <si>
    <t>25/11/2021</t>
  </si>
  <si>
    <t>18/11/2021</t>
  </si>
  <si>
    <t>17/11/2021</t>
  </si>
  <si>
    <t>16/11/2021</t>
  </si>
  <si>
    <t>12/11/2021</t>
  </si>
  <si>
    <t>08/11/2021</t>
  </si>
  <si>
    <t>25/10/2021</t>
  </si>
  <si>
    <t>19/10/2021</t>
  </si>
  <si>
    <t>15/10/2021</t>
  </si>
  <si>
    <t>24/09/2021</t>
  </si>
  <si>
    <t>17/09/2021</t>
  </si>
  <si>
    <t>15/09/2021</t>
  </si>
  <si>
    <t>03/09/2021</t>
  </si>
  <si>
    <t>17/08/2021</t>
  </si>
  <si>
    <t>13/08/2021</t>
  </si>
  <si>
    <t>23/07/2021</t>
  </si>
  <si>
    <t>19/07/2021</t>
  </si>
  <si>
    <t>15/07/2021</t>
  </si>
  <si>
    <t>30/06/2021</t>
  </si>
  <si>
    <t>SAPR3 - CIA DE SANEAMENTO DO PARANA - SANEPAR</t>
  </si>
  <si>
    <t>18/06/2021</t>
  </si>
  <si>
    <t>17/06/2021</t>
  </si>
  <si>
    <t>15/06/2021</t>
  </si>
  <si>
    <t>28/05/2021</t>
  </si>
  <si>
    <t>27/05/2021</t>
  </si>
  <si>
    <t>21/05/2021</t>
  </si>
  <si>
    <t>18/05/2021</t>
  </si>
  <si>
    <t>14/05/2021</t>
  </si>
  <si>
    <t>23/04/2021</t>
  </si>
  <si>
    <t>15/04/2021</t>
  </si>
  <si>
    <t>08/04/2021</t>
  </si>
  <si>
    <t>25/03/2021</t>
  </si>
  <si>
    <t>22/03/2021</t>
  </si>
  <si>
    <t>15/03/2021</t>
  </si>
  <si>
    <t>12/03/2021</t>
  </si>
  <si>
    <t>05/03/2021</t>
  </si>
  <si>
    <t>03/03/2021</t>
  </si>
  <si>
    <t>25/02/2021</t>
  </si>
  <si>
    <t>12/02/2021</t>
  </si>
  <si>
    <t>05/02/2021</t>
  </si>
  <si>
    <t>22/01/2021</t>
  </si>
  <si>
    <t>15/01/2021</t>
  </si>
  <si>
    <t>08/01/2021</t>
  </si>
  <si>
    <t>26/08/2022</t>
  </si>
  <si>
    <t>25/08/2022</t>
  </si>
  <si>
    <t>16/08/2022</t>
  </si>
  <si>
    <t>12/08/2022</t>
  </si>
  <si>
    <t>05/08/2022</t>
  </si>
  <si>
    <t>25/07/2022</t>
  </si>
  <si>
    <t>18/07/2022</t>
  </si>
  <si>
    <t>15/07/2022</t>
  </si>
  <si>
    <t>14/07/2022</t>
  </si>
  <si>
    <t>08/07/2022</t>
  </si>
  <si>
    <t>07/07/2022</t>
  </si>
  <si>
    <t>30/06/2022</t>
  </si>
  <si>
    <t>17/06/2022</t>
  </si>
  <si>
    <t>14/06/2022</t>
  </si>
  <si>
    <t>07/06/2022</t>
  </si>
  <si>
    <t>31/05/2022</t>
  </si>
  <si>
    <t>25/05/2022</t>
  </si>
  <si>
    <t>17/05/2022</t>
  </si>
  <si>
    <t>16/05/2022</t>
  </si>
  <si>
    <t>13/05/2022</t>
  </si>
  <si>
    <t>25/04/2022</t>
  </si>
  <si>
    <t>19/04/2022</t>
  </si>
  <si>
    <t>14/04/2022</t>
  </si>
  <si>
    <t>08/04/2022</t>
  </si>
  <si>
    <t>31/03/2022</t>
  </si>
  <si>
    <t>25/03/2022</t>
  </si>
  <si>
    <t>17/03/2022</t>
  </si>
  <si>
    <t>15/03/2022</t>
  </si>
  <si>
    <t>04/03/2022</t>
  </si>
  <si>
    <t>25/02/2022</t>
  </si>
  <si>
    <t>16/02/2022</t>
  </si>
  <si>
    <t>15/02/2022</t>
  </si>
  <si>
    <t>14/02/2022</t>
  </si>
  <si>
    <t>03/02/2022</t>
  </si>
  <si>
    <t>25/01/2022</t>
  </si>
  <si>
    <t>18/01/2022</t>
  </si>
  <si>
    <t>14/01/2022</t>
  </si>
  <si>
    <t>07/01/2022</t>
  </si>
  <si>
    <t>DATA PGT</t>
  </si>
  <si>
    <t>Soma de Valor líquido</t>
  </si>
  <si>
    <t>R$ 280,00</t>
  </si>
  <si>
    <t>R$ 106,15</t>
  </si>
  <si>
    <t>R$ 19,80</t>
  </si>
  <si>
    <t>Soma de PATRIMONIO ATUAL</t>
  </si>
  <si>
    <t>31/08/2022</t>
  </si>
  <si>
    <t>SANTANDER CCVM S/A</t>
  </si>
  <si>
    <t>SETEMBRO</t>
  </si>
  <si>
    <t>OUTUBRO</t>
  </si>
  <si>
    <t>NOVEMBRO</t>
  </si>
  <si>
    <t>DEZEMBRO</t>
  </si>
  <si>
    <t>Soma de Preço unitário</t>
  </si>
  <si>
    <t>MÉDIA DIVIDENDO</t>
  </si>
  <si>
    <t>LAJES CORPORATIVAS</t>
  </si>
  <si>
    <t>FUNDO DE FUNDO</t>
  </si>
  <si>
    <t>LOGÍSTICA</t>
  </si>
  <si>
    <t>SHOPPING</t>
  </si>
  <si>
    <t>HÍBRIDO</t>
  </si>
  <si>
    <t>TÍTULOS E VALORES IMOBILIÁRIOS</t>
  </si>
  <si>
    <t>Contagem de ATIVO</t>
  </si>
  <si>
    <t>Soma de COTAÇÃO ATUAL</t>
  </si>
  <si>
    <t>Soma de VARIAÇÃO PM</t>
  </si>
  <si>
    <t>Soma de PREÇO MÉDIO</t>
  </si>
  <si>
    <t>FUNDO</t>
  </si>
  <si>
    <t>COTAÇÃO</t>
  </si>
  <si>
    <t>VARIAÇÃO</t>
  </si>
  <si>
    <t>FUNDOS IMOBILIÁRIOS</t>
  </si>
  <si>
    <t>AÇÕES</t>
  </si>
  <si>
    <t>R$ 30,02</t>
  </si>
  <si>
    <t>R$ 57,70</t>
  </si>
  <si>
    <t>R$ 130,00</t>
  </si>
  <si>
    <t>(Tudo)</t>
  </si>
  <si>
    <t>R$ 9,37</t>
  </si>
  <si>
    <t>R$ 6,20</t>
  </si>
  <si>
    <t>Eternit SA em Recuperacao Judicial</t>
  </si>
  <si>
    <t>ETERNIT SA EM RECUPERACAO JUDICIAL</t>
  </si>
  <si>
    <t>R$ 41,00</t>
  </si>
  <si>
    <t>R$ 2,10</t>
  </si>
  <si>
    <t>R$ 71,00</t>
  </si>
  <si>
    <t>R$ 33,00</t>
  </si>
  <si>
    <t>R$ 31,00</t>
  </si>
  <si>
    <t>R$ 60,00</t>
  </si>
  <si>
    <t>R$ 21,60</t>
  </si>
  <si>
    <t>R$ 53,00</t>
  </si>
  <si>
    <t>R$ 9,49</t>
  </si>
  <si>
    <t>R$ 91,60</t>
  </si>
  <si>
    <t>Fundo de Invstnt Imr BM Bcn Ljs Crvs FII</t>
  </si>
  <si>
    <t>FUNDO DE INVSTNT IMR BM BCN LJS CRVS FII</t>
  </si>
  <si>
    <t>R$ 145,87</t>
  </si>
  <si>
    <t>R$ 84,00</t>
  </si>
  <si>
    <t>R$ 101,00</t>
  </si>
  <si>
    <t>R$ 78,04</t>
  </si>
  <si>
    <t>R$ 18,39</t>
  </si>
  <si>
    <t>R$ 0,99</t>
  </si>
  <si>
    <t>R$ 18,02</t>
  </si>
  <si>
    <t>R$ 6,70</t>
  </si>
  <si>
    <t>R$ 12,20</t>
  </si>
  <si>
    <t>R$ 47,00</t>
  </si>
  <si>
    <t>R$ 4,30</t>
  </si>
  <si>
    <t>R$ 27,40</t>
  </si>
  <si>
    <t>R$ 43,00</t>
  </si>
  <si>
    <t>R$ 28,41</t>
  </si>
  <si>
    <t>R$ 8,50</t>
  </si>
  <si>
    <t>Dohler SA Preference Shares</t>
  </si>
  <si>
    <t>DOHLER SA PREFERENCE SHARES</t>
  </si>
  <si>
    <t>R$ 32,00</t>
  </si>
  <si>
    <t>R$ 9,99</t>
  </si>
  <si>
    <t>Dohler SA</t>
  </si>
  <si>
    <t>DOHLER SA</t>
  </si>
  <si>
    <t>R$ 7,30</t>
  </si>
  <si>
    <t>R$ 14,36</t>
  </si>
  <si>
    <t>R$ 10,70</t>
  </si>
  <si>
    <t>R$ 9,68</t>
  </si>
  <si>
    <t>FII ALIANZFFCI</t>
  </si>
  <si>
    <t>R$ 83,00</t>
  </si>
  <si>
    <t>FII CX CEDAECI MB</t>
  </si>
  <si>
    <t>FII OURINVESCI MB</t>
  </si>
  <si>
    <t>FII RB CAP ICI MB</t>
  </si>
  <si>
    <t>FII GEN SEV CI MB</t>
  </si>
  <si>
    <t>FII FOF BREICI</t>
  </si>
  <si>
    <t>R$ 13,90</t>
  </si>
  <si>
    <t>R$ 5,84</t>
  </si>
  <si>
    <t>R$ 9,73</t>
  </si>
  <si>
    <t>R$ 8,20</t>
  </si>
  <si>
    <t>R$ 6,58</t>
  </si>
  <si>
    <t>R$ 9,85</t>
  </si>
  <si>
    <t>R$ 3,06</t>
  </si>
  <si>
    <t>R$ 15,54</t>
  </si>
  <si>
    <t>R$ 27,15</t>
  </si>
  <si>
    <t>R$ 6,00</t>
  </si>
  <si>
    <t>R$ 5,30</t>
  </si>
  <si>
    <t>R$ 8,31</t>
  </si>
  <si>
    <t>R$ 5,86</t>
  </si>
  <si>
    <t>R$ 5,58</t>
  </si>
  <si>
    <t>R$ 6,90</t>
  </si>
  <si>
    <t>R$ 1,42</t>
  </si>
  <si>
    <t>R$ 3,32</t>
  </si>
  <si>
    <t>R$ 22,98</t>
  </si>
  <si>
    <t>R$ 8,00</t>
  </si>
  <si>
    <t>R$ 10,48</t>
  </si>
  <si>
    <t>R$ 6,95</t>
  </si>
  <si>
    <t>R$ 19,90</t>
  </si>
  <si>
    <t>R$ 68,10</t>
  </si>
  <si>
    <t>R$ 98,00</t>
  </si>
  <si>
    <t>R$ 100,00</t>
  </si>
  <si>
    <t>R$ 86,00</t>
  </si>
  <si>
    <t>R$ 7,82</t>
  </si>
  <si>
    <t>R$ 3,99</t>
  </si>
  <si>
    <t>R$ 102,00</t>
  </si>
  <si>
    <t>R$ 113,00</t>
  </si>
  <si>
    <t>R$ 10,60</t>
  </si>
  <si>
    <t>R$ 86,50</t>
  </si>
  <si>
    <t>R$ 74,90</t>
  </si>
  <si>
    <t>R$ 10,00</t>
  </si>
  <si>
    <t>R$ 55,95</t>
  </si>
  <si>
    <t>R$ 98,40</t>
  </si>
  <si>
    <t>R$ 97,89</t>
  </si>
  <si>
    <t>R$ 16,31</t>
  </si>
  <si>
    <t>R$ 22,97</t>
  </si>
  <si>
    <t>R$ 16,00</t>
  </si>
  <si>
    <t>R$ 16,20</t>
  </si>
  <si>
    <t>R$ 49,60</t>
  </si>
  <si>
    <t>R$ 1,10</t>
  </si>
  <si>
    <t>R$ 4,59</t>
  </si>
  <si>
    <t>R$ 3,28</t>
  </si>
  <si>
    <t>R$ 13,04</t>
  </si>
  <si>
    <t>R$ 11,65</t>
  </si>
  <si>
    <t>R$ 2,00</t>
  </si>
  <si>
    <t>R$ 1,60</t>
  </si>
  <si>
    <t>R$ 6,57</t>
  </si>
  <si>
    <t>R$ 38,52</t>
  </si>
  <si>
    <t>R$ 5,37</t>
  </si>
  <si>
    <t>R$ 8,07</t>
  </si>
  <si>
    <t>R$ 0,39</t>
  </si>
  <si>
    <t>R$ 12,45</t>
  </si>
  <si>
    <t>R$ 7,64</t>
  </si>
  <si>
    <t>R$ 2,98</t>
  </si>
  <si>
    <t>R$ 1,74</t>
  </si>
  <si>
    <t>R$ 29,28</t>
  </si>
  <si>
    <t>R$ 25,12</t>
  </si>
  <si>
    <t>R$ 5,50</t>
  </si>
  <si>
    <t>R$ 12,80</t>
  </si>
  <si>
    <t>R$ 2,19</t>
  </si>
  <si>
    <t>R$ 4,97</t>
  </si>
  <si>
    <t>R$ 8,93</t>
  </si>
  <si>
    <t>R$ 485,00</t>
  </si>
  <si>
    <t>R$ 11,05</t>
  </si>
  <si>
    <t>R$ 16,16</t>
  </si>
  <si>
    <t>R$ 6,06</t>
  </si>
  <si>
    <t>R$ 0,97</t>
  </si>
  <si>
    <t>R$ 1,28</t>
  </si>
  <si>
    <t>R$ 7,52</t>
  </si>
  <si>
    <t>R$ 7,43</t>
  </si>
  <si>
    <t>R$ 33,08</t>
  </si>
  <si>
    <t>R$ 18,49</t>
  </si>
  <si>
    <t>R$ 29,80</t>
  </si>
  <si>
    <t>R$ 2,39</t>
  </si>
  <si>
    <t>R$ 32,95</t>
  </si>
  <si>
    <t>R$ 1,32</t>
  </si>
  <si>
    <t>R$ 7,92</t>
  </si>
  <si>
    <t>R$ 3,71</t>
  </si>
  <si>
    <t>R$ 18,15</t>
  </si>
  <si>
    <t>R$ 3,64</t>
  </si>
  <si>
    <t>R$ 11,99</t>
  </si>
  <si>
    <t>R$ 31,10</t>
  </si>
  <si>
    <t>R$ 26,24</t>
  </si>
  <si>
    <t>R$ 9,09</t>
  </si>
  <si>
    <t>R$ 11,70</t>
  </si>
  <si>
    <t>R$ 18,50</t>
  </si>
  <si>
    <t>R$ 10,40</t>
  </si>
  <si>
    <t>R$ 1,68</t>
  </si>
  <si>
    <t>R$ 26,04</t>
  </si>
  <si>
    <t>R$ 5,98</t>
  </si>
  <si>
    <t>R$ 44,50</t>
  </si>
  <si>
    <t>R$ 4,16</t>
  </si>
  <si>
    <t>R$ 2,25</t>
  </si>
  <si>
    <t>R$ 7,74</t>
  </si>
  <si>
    <t>R$ 3,24</t>
  </si>
  <si>
    <t>R$ 3,52</t>
  </si>
  <si>
    <t>R$ 1,79</t>
  </si>
  <si>
    <t>R$ 6,09</t>
  </si>
  <si>
    <t>R$ 6,50</t>
  </si>
  <si>
    <t>R$ 0,83</t>
  </si>
  <si>
    <t>R$ 2,30</t>
  </si>
  <si>
    <t>R$ 1,90</t>
  </si>
  <si>
    <t>R$ 0,86</t>
  </si>
  <si>
    <t>R$ 14,72</t>
  </si>
  <si>
    <t>R$ 4,09</t>
  </si>
  <si>
    <t>R$ 34,48</t>
  </si>
  <si>
    <t>R$ 30,00</t>
  </si>
  <si>
    <t>R$ 0,50</t>
  </si>
  <si>
    <t>R$ 24,99</t>
  </si>
  <si>
    <t>R$ 2,79</t>
  </si>
  <si>
    <t>R$ 11,30</t>
  </si>
  <si>
    <t>R$ 1,98</t>
  </si>
  <si>
    <t>R$ 9,63</t>
  </si>
  <si>
    <t>R$ 1,50</t>
  </si>
  <si>
    <t>R$ 2,40</t>
  </si>
  <si>
    <t>R$ 8,74</t>
  </si>
  <si>
    <t>R$ 7,26</t>
  </si>
  <si>
    <t>R$ 2,76</t>
  </si>
  <si>
    <t>R$ 4,19</t>
  </si>
  <si>
    <t>R$ 2,31</t>
  </si>
  <si>
    <t>R$ 0,70</t>
  </si>
  <si>
    <t>R$ 15,59</t>
  </si>
  <si>
    <t>R$ 26,57</t>
  </si>
  <si>
    <t>R$ 2,49</t>
  </si>
  <si>
    <t>R$ 14,73</t>
  </si>
  <si>
    <t>R$ 38,95</t>
  </si>
  <si>
    <t>R$ 27,09</t>
  </si>
  <si>
    <t>R$ 25,00</t>
  </si>
  <si>
    <t>R$ 4,55</t>
  </si>
  <si>
    <t>R$ 4,40</t>
  </si>
  <si>
    <t>R$ 19,00</t>
  </si>
  <si>
    <t>R$ 48,30</t>
  </si>
  <si>
    <t>R$ 5,40</t>
  </si>
  <si>
    <t>R$ 13,52</t>
  </si>
  <si>
    <t>R$ 73,72</t>
  </si>
  <si>
    <t>R$ 75,00</t>
  </si>
  <si>
    <t>R$ 35,05</t>
  </si>
  <si>
    <t>R$ 34,15</t>
  </si>
  <si>
    <t>R$ 12,62</t>
  </si>
  <si>
    <t>R$ 11,75</t>
  </si>
  <si>
    <t>R$ 18,51</t>
  </si>
  <si>
    <t>R$ 12,00</t>
  </si>
  <si>
    <t>R$ 42,97</t>
  </si>
  <si>
    <t>R$ 45,15</t>
  </si>
  <si>
    <t>R$ 58,98</t>
  </si>
  <si>
    <t>R$ 20,99</t>
  </si>
  <si>
    <t>R$ 5,19</t>
  </si>
  <si>
    <t>R$ 49,95</t>
  </si>
  <si>
    <t>R$ 27,53</t>
  </si>
  <si>
    <t>R$ 20,90</t>
  </si>
  <si>
    <t>R$ 26,60</t>
  </si>
  <si>
    <t>R$ 5,73</t>
  </si>
  <si>
    <t>R$ 14,47</t>
  </si>
  <si>
    <t>R$ 30,34</t>
  </si>
  <si>
    <t>R$ 19,41</t>
  </si>
  <si>
    <t>R$ 10,76</t>
  </si>
  <si>
    <t>R$ 2,59</t>
  </si>
  <si>
    <t>R$ 20,20</t>
  </si>
  <si>
    <t>R$ 6,28</t>
  </si>
  <si>
    <t>R$ 7,96</t>
  </si>
  <si>
    <t>R$ 5,88</t>
  </si>
  <si>
    <t>R$ 9,43</t>
  </si>
  <si>
    <t>R$ 33,55</t>
  </si>
  <si>
    <t>R$ 3,50</t>
  </si>
  <si>
    <t>R$ 9,30</t>
  </si>
  <si>
    <t>R$ 17,35</t>
  </si>
  <si>
    <t>R$ 12,70</t>
  </si>
  <si>
    <t>R$ 17,15</t>
  </si>
  <si>
    <t>R$ 1,25</t>
  </si>
  <si>
    <t>R$ 25,10</t>
  </si>
  <si>
    <t>R$ 21,83</t>
  </si>
  <si>
    <t>R$ 27,20</t>
  </si>
  <si>
    <t>R$ 26,90</t>
  </si>
  <si>
    <t>R$ 45,50</t>
  </si>
  <si>
    <t>R$ 17,65</t>
  </si>
  <si>
    <t>R$ 19,84</t>
  </si>
  <si>
    <t>R$ 12,93</t>
  </si>
  <si>
    <t>R$ 30,54</t>
  </si>
  <si>
    <t>R$ 10,97</t>
  </si>
  <si>
    <t>R$ 6,31</t>
  </si>
  <si>
    <t>R$ 7,45</t>
  </si>
  <si>
    <t>R$ 28,51</t>
  </si>
  <si>
    <t>R$ 7,40</t>
  </si>
  <si>
    <t>R$ 8,95</t>
  </si>
  <si>
    <t>R$ 10,06</t>
  </si>
  <si>
    <t>R$ 16,36</t>
  </si>
  <si>
    <t>R$ 15,30</t>
  </si>
  <si>
    <t>R$ 39,87</t>
  </si>
  <si>
    <t>R$ 13,20</t>
  </si>
  <si>
    <t>R$ 33,51</t>
  </si>
  <si>
    <t>R$ 23,52</t>
  </si>
  <si>
    <t>R$ 9,87</t>
  </si>
  <si>
    <t>R$ 12,33</t>
  </si>
  <si>
    <t>R$ 8,84</t>
  </si>
  <si>
    <t>R$ 28,06</t>
  </si>
  <si>
    <t>R$ 9,42</t>
  </si>
  <si>
    <t>R$ 51,98</t>
  </si>
  <si>
    <t>R$ 42,49</t>
  </si>
  <si>
    <t>R$ 5,14</t>
  </si>
  <si>
    <t>R$ 23,26</t>
  </si>
  <si>
    <t>R$ 79,00</t>
  </si>
  <si>
    <t>R$ 83,19</t>
  </si>
  <si>
    <t>R$ 17,25</t>
  </si>
  <si>
    <t>Vibra Energia SA</t>
  </si>
  <si>
    <t>VIBRA ENERGIA SA</t>
  </si>
  <si>
    <t>R$ 40,99</t>
  </si>
  <si>
    <t>R$ 14,52</t>
  </si>
  <si>
    <t>R$ 21,13</t>
  </si>
  <si>
    <t>R$ 7,22</t>
  </si>
  <si>
    <t>R$ 10,29</t>
  </si>
  <si>
    <t>R$ 22,99</t>
  </si>
  <si>
    <t>R$ 7,89</t>
  </si>
  <si>
    <t>R$ 25,52</t>
  </si>
  <si>
    <t>R$ 23,03</t>
  </si>
  <si>
    <t>R$ 33,76</t>
  </si>
  <si>
    <t>R$ 6,98</t>
  </si>
  <si>
    <t>R$ 9,50</t>
  </si>
  <si>
    <t>R$ 12,42</t>
  </si>
  <si>
    <t>R$ 2,42</t>
  </si>
  <si>
    <t>R$ 2,89</t>
  </si>
  <si>
    <t>R$ 59,50</t>
  </si>
  <si>
    <t>R$ 10,42</t>
  </si>
  <si>
    <t>R$ 7,31</t>
  </si>
  <si>
    <t>R$ 43,29</t>
  </si>
  <si>
    <t>R$ 132,00</t>
  </si>
  <si>
    <t>R$ 6,44</t>
  </si>
  <si>
    <t>R$ 3,46</t>
  </si>
  <si>
    <t>R$ 54,00</t>
  </si>
  <si>
    <t>R$ 38,51</t>
  </si>
  <si>
    <t>R$ 7,07</t>
  </si>
  <si>
    <t>R$ 26,56</t>
  </si>
  <si>
    <t>R$ 12,88</t>
  </si>
  <si>
    <t>R$ 1,43</t>
  </si>
  <si>
    <t>R$ 3,12</t>
  </si>
  <si>
    <t>R$ 14,45</t>
  </si>
  <si>
    <t>R$ 18,35</t>
  </si>
  <si>
    <t>R$ 40,49</t>
  </si>
  <si>
    <t>R$ 76,00</t>
  </si>
  <si>
    <t>R$ 16,85</t>
  </si>
  <si>
    <t>R$ 21,49</t>
  </si>
  <si>
    <t>R$ 22,06</t>
  </si>
  <si>
    <t>R$ 7,24</t>
  </si>
  <si>
    <t>R$ 80,58</t>
  </si>
  <si>
    <t>R$ 5,82</t>
  </si>
  <si>
    <t>R$ 2,81</t>
  </si>
  <si>
    <t>R$ 0,66</t>
  </si>
  <si>
    <t>R$ 14,15</t>
  </si>
  <si>
    <t>R$ 41,89</t>
  </si>
  <si>
    <t>R$ 21,41</t>
  </si>
  <si>
    <t>R$ 12,44</t>
  </si>
  <si>
    <t>R$ 8,16</t>
  </si>
  <si>
    <t>R$ 44,25</t>
  </si>
  <si>
    <t>R$ 10,59</t>
  </si>
  <si>
    <t>R$ 24,81</t>
  </si>
  <si>
    <t>R$ 43,81</t>
  </si>
  <si>
    <t>R$ 20,08</t>
  </si>
  <si>
    <t>R$ 12,54</t>
  </si>
  <si>
    <t>R$ 24,76</t>
  </si>
  <si>
    <t>R$ 7,63</t>
  </si>
  <si>
    <t>R$ 12,53</t>
  </si>
  <si>
    <t>R$ 21,24</t>
  </si>
  <si>
    <t>R$ 98,41</t>
  </si>
  <si>
    <t>R$ 24,44</t>
  </si>
  <si>
    <t>R$ 24,17</t>
  </si>
  <si>
    <t>R$ 7,36</t>
  </si>
  <si>
    <t>R$ 24,75</t>
  </si>
  <si>
    <t>R$ 17,68</t>
  </si>
  <si>
    <t>R$ 8,80</t>
  </si>
  <si>
    <t>R$ 4,03</t>
  </si>
  <si>
    <t>R$ 22,74</t>
  </si>
  <si>
    <t>R$ 13,06</t>
  </si>
  <si>
    <t>R$ 13,05</t>
  </si>
  <si>
    <t>R$ 5,54</t>
  </si>
  <si>
    <t>R$ 30,20</t>
  </si>
  <si>
    <t>R$ 17,38</t>
  </si>
  <si>
    <t>R$ 12,72</t>
  </si>
  <si>
    <t>R$ 61,09</t>
  </si>
  <si>
    <t>R$ 19,39</t>
  </si>
  <si>
    <t>R$ 27,85</t>
  </si>
  <si>
    <t>R$ 260,00</t>
  </si>
  <si>
    <t>R$ 19,33</t>
  </si>
  <si>
    <t>R$ 11,76</t>
  </si>
  <si>
    <t>R$ 22,73</t>
  </si>
  <si>
    <t>R$ 29,35</t>
  </si>
  <si>
    <t>R$ 12,37</t>
  </si>
  <si>
    <t>R$ 17,87</t>
  </si>
  <si>
    <t>R$ 7,57</t>
  </si>
  <si>
    <t>R$ 32,14</t>
  </si>
  <si>
    <t>R$ 21,27</t>
  </si>
  <si>
    <t>R$ 11,73</t>
  </si>
  <si>
    <t>R$ 5,25</t>
  </si>
  <si>
    <t>R$ 18,48</t>
  </si>
  <si>
    <t>R$ 95,99</t>
  </si>
  <si>
    <t>R$ 96,30</t>
  </si>
  <si>
    <t>R$ 85,78</t>
  </si>
  <si>
    <t>R$ 4,48</t>
  </si>
  <si>
    <t>R$ 20,98</t>
  </si>
  <si>
    <t>R$ 9,00</t>
  </si>
  <si>
    <t>R$ 18,86</t>
  </si>
  <si>
    <t>R$ 72,04</t>
  </si>
  <si>
    <t>R$ 22,25</t>
  </si>
  <si>
    <t>R$ 23,76</t>
  </si>
  <si>
    <t>R$ 109,87</t>
  </si>
  <si>
    <t>R$ 71,68</t>
  </si>
  <si>
    <t>R$ 69,79</t>
  </si>
  <si>
    <t>R$ 79,99</t>
  </si>
  <si>
    <t>R$ 171,50</t>
  </si>
  <si>
    <t>R$ 144,12</t>
  </si>
  <si>
    <t>R$ 129,35</t>
  </si>
  <si>
    <t>R$ 152,80</t>
  </si>
  <si>
    <t>R$ 116,00</t>
  </si>
  <si>
    <t>R$ 10,30</t>
  </si>
  <si>
    <t>R$ 97,07</t>
  </si>
  <si>
    <t>R$ 110,43</t>
  </si>
  <si>
    <t>R$ 103,56</t>
  </si>
  <si>
    <t>R$ 103,00</t>
  </si>
  <si>
    <t>R$ 101,88</t>
  </si>
  <si>
    <t>R$ 103,01</t>
  </si>
  <si>
    <t>R$ 94,03</t>
  </si>
  <si>
    <t>R$ 117,23</t>
  </si>
  <si>
    <t>R$ 95,80</t>
  </si>
  <si>
    <t>R$ 73,61</t>
  </si>
  <si>
    <t>R$ 97,00</t>
  </si>
  <si>
    <t>R$ 79,07</t>
  </si>
  <si>
    <t>R$ 910,00</t>
  </si>
  <si>
    <t>R$ 100,18</t>
  </si>
  <si>
    <t>R$ 80,03</t>
  </si>
  <si>
    <t>R$ 1.960,00</t>
  </si>
  <si>
    <t>R$ 77,11</t>
  </si>
  <si>
    <t>R$ 91,90</t>
  </si>
  <si>
    <t>R$ 102,11</t>
  </si>
  <si>
    <t>R$ 93,82</t>
  </si>
  <si>
    <t>R$ 104,30</t>
  </si>
  <si>
    <t>R$ 91,49</t>
  </si>
  <si>
    <t>R$ 84,50</t>
  </si>
  <si>
    <t>R$ 86,73</t>
  </si>
  <si>
    <t>R$ 100,97</t>
  </si>
  <si>
    <t>R$ 124,50</t>
  </si>
  <si>
    <t>R$ 70,94</t>
  </si>
  <si>
    <t>R$ 64,25</t>
  </si>
  <si>
    <t>R$ 108,50</t>
  </si>
  <si>
    <t>R$ 100,45</t>
  </si>
  <si>
    <t>R$ 94,98</t>
  </si>
  <si>
    <t>R$ 85,05</t>
  </si>
  <si>
    <t>R$ 58,67</t>
  </si>
  <si>
    <t>R$ 59,95</t>
  </si>
  <si>
    <t>R$ 33,06</t>
  </si>
  <si>
    <t>R$ 74,97</t>
  </si>
  <si>
    <t>R$ 91,15</t>
  </si>
  <si>
    <t>R$ 73,99</t>
  </si>
  <si>
    <t>R$ 12,21</t>
  </si>
  <si>
    <t>R$ 90,19</t>
  </si>
  <si>
    <t>R$ 39,99</t>
  </si>
  <si>
    <t>R$ 78,03</t>
  </si>
  <si>
    <t>R$ 69,93</t>
  </si>
  <si>
    <t>R$ 387,98</t>
  </si>
  <si>
    <t>R$ 94,64</t>
  </si>
  <si>
    <t>R$ 95,60</t>
  </si>
  <si>
    <t>FII MTGESTAOCI MB</t>
  </si>
  <si>
    <t>R$ 205,99</t>
  </si>
  <si>
    <t>R$ 230,93</t>
  </si>
  <si>
    <t>R$ 153,50</t>
  </si>
  <si>
    <t>R$ 784,00</t>
  </si>
  <si>
    <t>R$ 124,00</t>
  </si>
  <si>
    <t>R$ 88,40</t>
  </si>
  <si>
    <t>R$ 56,60</t>
  </si>
  <si>
    <t>R$ 483,00</t>
  </si>
  <si>
    <t>R$ 163,01</t>
  </si>
  <si>
    <t>R$ 3,23</t>
  </si>
  <si>
    <t>R$ 96,49</t>
  </si>
  <si>
    <t>R$ 129,89</t>
  </si>
  <si>
    <t>R$ 1.588,98</t>
  </si>
  <si>
    <t>R$ 64,99</t>
  </si>
  <si>
    <t>R$ 208,05</t>
  </si>
  <si>
    <t>R$ 118,38</t>
  </si>
  <si>
    <t>R$ 9,80</t>
  </si>
  <si>
    <t>R$ 71,69</t>
  </si>
  <si>
    <t>R$ 93,88</t>
  </si>
  <si>
    <t>R$ 119,75</t>
  </si>
  <si>
    <t>R$ 4,75</t>
  </si>
  <si>
    <t>R$ 81,80</t>
  </si>
  <si>
    <t>R$ 93,00</t>
  </si>
  <si>
    <t>R$ 95,55</t>
  </si>
  <si>
    <t>R$ 228,00</t>
  </si>
  <si>
    <t>R$ 216,00</t>
  </si>
  <si>
    <t>R$ 104,71</t>
  </si>
  <si>
    <t>R$ 81,89</t>
  </si>
  <si>
    <t>R$ 110,00</t>
  </si>
  <si>
    <t>R$ 262,00</t>
  </si>
  <si>
    <t>R$ 97,10</t>
  </si>
  <si>
    <t>R$ 65,50</t>
  </si>
  <si>
    <t>R$ 82,78</t>
  </si>
  <si>
    <t>R$ 1,03</t>
  </si>
  <si>
    <t>R$ 93,97</t>
  </si>
  <si>
    <t>R$ 84,70</t>
  </si>
  <si>
    <t>R$ 97,82</t>
  </si>
  <si>
    <t>R$ 94,25</t>
  </si>
  <si>
    <t>R$ 100,99</t>
  </si>
  <si>
    <t>R$ 116,69</t>
  </si>
  <si>
    <t>R$ 112,00</t>
  </si>
  <si>
    <t>R$ 72,29</t>
  </si>
  <si>
    <t>R$ 109,30</t>
  </si>
  <si>
    <t>R$ 86,47</t>
  </si>
  <si>
    <t>R$ 87,75</t>
  </si>
  <si>
    <t>R$ 92,44</t>
  </si>
  <si>
    <t>R$ 9,25</t>
  </si>
  <si>
    <t>R$ 8,45</t>
  </si>
  <si>
    <t>R$ 102,40</t>
  </si>
  <si>
    <t>R$ 97,06</t>
  </si>
  <si>
    <t>R$ 91,40</t>
  </si>
  <si>
    <t>R$ 85,60</t>
  </si>
  <si>
    <t>R$ 92,00</t>
  </si>
  <si>
    <t>R$ 87,90</t>
  </si>
  <si>
    <t>R$ 84,55</t>
  </si>
  <si>
    <t>R$ 79,40</t>
  </si>
  <si>
    <t>R$ 109,41</t>
  </si>
  <si>
    <t>R$ 82,80</t>
  </si>
  <si>
    <t>R$ 680,00</t>
  </si>
  <si>
    <t>R$ 97,40</t>
  </si>
  <si>
    <t>R$ 103,41</t>
  </si>
  <si>
    <t>R$ 66,48</t>
  </si>
  <si>
    <t>R$ 89,79</t>
  </si>
  <si>
    <t>R$ 65,20</t>
  </si>
  <si>
    <t>R$ 69,55</t>
  </si>
  <si>
    <t>R$ 44,37</t>
  </si>
  <si>
    <t>R$ 73,77</t>
  </si>
  <si>
    <t>R$ 76,93</t>
  </si>
  <si>
    <t>R$ 101,38</t>
  </si>
  <si>
    <t>R$ 35,21</t>
  </si>
  <si>
    <t>R$ 179,22</t>
  </si>
  <si>
    <t>R$ 171,99</t>
  </si>
  <si>
    <t>R$ 67,11</t>
  </si>
  <si>
    <t>R$ 96,54</t>
  </si>
  <si>
    <t>R$ 81,41</t>
  </si>
  <si>
    <t>R$ 75,80</t>
  </si>
  <si>
    <t>R$ 86,35</t>
  </si>
  <si>
    <t>R$ 79,74</t>
  </si>
  <si>
    <t>R$ 2.372,00</t>
  </si>
  <si>
    <t>R$ 122,00</t>
  </si>
  <si>
    <t>R$ 99,00</t>
  </si>
  <si>
    <t>R$ 47,19</t>
  </si>
  <si>
    <t>R$ 44,30</t>
  </si>
  <si>
    <t>Hedge Office Income FI Imobiliario</t>
  </si>
  <si>
    <t>HEDGE OFFICE INCOME FI IMOBILIARIO</t>
  </si>
  <si>
    <t>R$ 136,81</t>
  </si>
  <si>
    <t>R$ 57,54</t>
  </si>
  <si>
    <t>R$ 88,94</t>
  </si>
  <si>
    <t>R$ 68,21</t>
  </si>
  <si>
    <t>R$ 41,30</t>
  </si>
  <si>
    <t>R$ 76,47</t>
  </si>
  <si>
    <t>R$ 93,68</t>
  </si>
  <si>
    <t>R$ 60,30</t>
  </si>
  <si>
    <t>R$ 90,60</t>
  </si>
  <si>
    <t>R$ 66,58</t>
  </si>
  <si>
    <t>R$ 99,71</t>
  </si>
  <si>
    <t>R$ 11,63</t>
  </si>
  <si>
    <t>R$ 146,97</t>
  </si>
  <si>
    <t>R$ 51,00</t>
  </si>
  <si>
    <t>R$ 89,35</t>
  </si>
  <si>
    <t>R$ 61,39</t>
  </si>
  <si>
    <t>R$ 76,60</t>
  </si>
  <si>
    <t>R$ 77,91</t>
  </si>
  <si>
    <t>R$ 272,00</t>
  </si>
  <si>
    <t>R$ 51,93</t>
  </si>
  <si>
    <t>R$ 85,98</t>
  </si>
  <si>
    <t>R$ 80,66</t>
  </si>
  <si>
    <t>R$ 101,75</t>
  </si>
  <si>
    <t>R$ 105,30</t>
  </si>
  <si>
    <t>R$ 90,90</t>
  </si>
  <si>
    <t>R$ 6,14</t>
  </si>
  <si>
    <t>R$ 66,70</t>
  </si>
  <si>
    <t>R$ 796,00</t>
  </si>
  <si>
    <t>R$ 87,50</t>
  </si>
  <si>
    <t>R$ 84,82</t>
  </si>
  <si>
    <t>R$ 125,71</t>
  </si>
  <si>
    <t>R$ 8,10</t>
  </si>
  <si>
    <t>R$ 111,00</t>
  </si>
  <si>
    <t>R$ 115,12</t>
  </si>
  <si>
    <t>R$ 103,10</t>
  </si>
  <si>
    <t>R$ 90,11</t>
  </si>
  <si>
    <t>R$ 80,92</t>
  </si>
  <si>
    <t>R$ 90,05</t>
  </si>
  <si>
    <t>R$ 10,07</t>
  </si>
  <si>
    <t>R$ 7,67</t>
  </si>
  <si>
    <t>R$ 111,49</t>
  </si>
  <si>
    <t>R$ 8,15</t>
  </si>
  <si>
    <t>R$ 108,81</t>
  </si>
  <si>
    <t>R$ 95,54</t>
  </si>
  <si>
    <t>R$ 79,70</t>
  </si>
  <si>
    <t>R$ 9,14</t>
  </si>
  <si>
    <t>R$ 923,00</t>
  </si>
  <si>
    <t>R$ 76,74</t>
  </si>
  <si>
    <t>R$ 36,71</t>
  </si>
  <si>
    <t>R$ 87,72</t>
  </si>
  <si>
    <t>R$ 17,85</t>
  </si>
  <si>
    <t>R$ 82,90</t>
  </si>
  <si>
    <t>R$ 45,90</t>
  </si>
  <si>
    <t>R$ 7,25</t>
  </si>
  <si>
    <t>IMPOSTO DE RENDA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</si>
</sst>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8" formatCode="&quot;R$&quot;\ #,##0.00;[Red]\-&quot;R$&quot;\ #,##0.00"/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_-&quot;R$&quot;\ * #,##0_-;\-&quot;R$&quot;\ * #,##0_-;_-&quot;R$&quot;\ * &quot;-&quot;??_-;_-@_-"/>
    <numFmt numFmtId="165" formatCode="[&gt;999999999]0.0,,,,\ &quot;M&quot;;0.0,,,,\ &quot;B&quot;"/>
    <numFmt numFmtId="166" formatCode="[&gt;999999]0.0,,,\ &quot;M&quot;;General"/>
    <numFmt numFmtId="167" formatCode="_-* #,##0_-;\-* #,##0_-;_-* &quot;-&quot;??_-;_-@_-"/>
    <numFmt numFmtId="168" formatCode="#,##0.00_ ;[Red]\-#,##0.00\ "/>
    <numFmt numFmtId="169" formatCode="[$R$-416]\ #,##0.00"/>
    <numFmt numFmtId="171" formatCode="_-\R\$* #,##0.00######_-;\-\R\$* #,##0.00######_-;_ \-;_-@_-"/>
    <numFmt numFmtId="172" formatCode="0.0%"/>
  </numFmts>
  <fonts count="21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0"/>
      <color indexed="9"/>
      <name val="Arial"/>
      <family val="2"/>
    </font>
    <font>
      <b/>
      <sz val="20"/>
      <color rgb="FFFFFFFF"/>
      <name val="Arial"/>
      <family val="2"/>
    </font>
    <font>
      <sz val="8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20"/>
      <name val="Arial"/>
      <family val="2"/>
    </font>
    <font>
      <sz val="11"/>
      <name val="Arial"/>
      <family val="2"/>
    </font>
    <font>
      <b/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2"/>
      <color theme="1" tint="0.34998626667073579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/>
      <name val="Segoe UI"/>
      <family val="2"/>
    </font>
    <font>
      <b/>
      <sz val="16"/>
      <color theme="1"/>
      <name val="Calibri"/>
      <family val="2"/>
      <scheme val="minor"/>
    </font>
    <font>
      <sz val="9"/>
      <color indexed="81"/>
      <name val="Segoe UI"/>
      <charset val="1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0" fillId="0" borderId="0"/>
    <xf numFmtId="44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43" fontId="3" fillId="0" borderId="0" applyFont="0" applyFill="0" applyBorder="0" applyAlignment="0" applyProtection="0"/>
    <xf numFmtId="0" fontId="13" fillId="0" borderId="0"/>
  </cellStyleXfs>
  <cellXfs count="134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0" borderId="1" xfId="0" applyFont="1" applyFill="1" applyBorder="1"/>
    <xf numFmtId="0" fontId="0" fillId="0" borderId="0" xfId="0" applyNumberFormat="1"/>
    <xf numFmtId="8" fontId="0" fillId="0" borderId="0" xfId="0" applyNumberFormat="1"/>
    <xf numFmtId="168" fontId="0" fillId="0" borderId="0" xfId="0" applyNumberFormat="1"/>
    <xf numFmtId="0" fontId="1" fillId="0" borderId="3" xfId="0" applyFont="1" applyFill="1" applyBorder="1"/>
    <xf numFmtId="0" fontId="7" fillId="5" borderId="1" xfId="0" applyFont="1" applyFill="1" applyBorder="1" applyAlignment="1">
      <alignment horizontal="center" vertical="center" wrapText="1"/>
    </xf>
    <xf numFmtId="1" fontId="7" fillId="5" borderId="1" xfId="0" applyNumberFormat="1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169" fontId="9" fillId="0" borderId="1" xfId="1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9" fillId="0" borderId="8" xfId="0" applyFont="1" applyFill="1" applyBorder="1" applyAlignment="1">
      <alignment horizontal="center"/>
    </xf>
    <xf numFmtId="169" fontId="9" fillId="0" borderId="8" xfId="1" applyNumberFormat="1" applyFont="1" applyFill="1" applyBorder="1" applyAlignment="1">
      <alignment horizontal="center"/>
    </xf>
    <xf numFmtId="0" fontId="9" fillId="0" borderId="8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left"/>
    </xf>
    <xf numFmtId="0" fontId="9" fillId="0" borderId="1" xfId="0" applyNumberFormat="1" applyFont="1" applyFill="1" applyBorder="1" applyAlignment="1">
      <alignment horizontal="center"/>
    </xf>
    <xf numFmtId="0" fontId="9" fillId="0" borderId="8" xfId="0" applyNumberFormat="1" applyFont="1" applyFill="1" applyBorder="1" applyAlignment="1">
      <alignment horizontal="center"/>
    </xf>
    <xf numFmtId="0" fontId="1" fillId="0" borderId="0" xfId="0" applyFont="1" applyFill="1"/>
    <xf numFmtId="165" fontId="1" fillId="0" borderId="0" xfId="0" applyNumberFormat="1" applyFont="1" applyFill="1"/>
    <xf numFmtId="0" fontId="5" fillId="0" borderId="0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166" fontId="2" fillId="0" borderId="0" xfId="0" applyNumberFormat="1" applyFont="1" applyFill="1"/>
    <xf numFmtId="164" fontId="2" fillId="0" borderId="0" xfId="1" applyNumberFormat="1" applyFont="1" applyFill="1"/>
    <xf numFmtId="10" fontId="2" fillId="0" borderId="0" xfId="2" applyNumberFormat="1" applyFont="1" applyFill="1"/>
    <xf numFmtId="164" fontId="2" fillId="0" borderId="0" xfId="0" applyNumberFormat="1" applyFont="1" applyFill="1"/>
    <xf numFmtId="0" fontId="2" fillId="0" borderId="0" xfId="0" applyFont="1" applyFill="1"/>
    <xf numFmtId="0" fontId="11" fillId="0" borderId="0" xfId="0" applyFont="1" applyFill="1" applyBorder="1" applyAlignment="1">
      <alignment vertical="center"/>
    </xf>
    <xf numFmtId="0" fontId="8" fillId="0" borderId="8" xfId="0" applyFont="1" applyFill="1" applyBorder="1" applyAlignment="1">
      <alignment horizontal="center"/>
    </xf>
    <xf numFmtId="167" fontId="1" fillId="0" borderId="0" xfId="3" applyNumberFormat="1" applyFont="1" applyFill="1"/>
    <xf numFmtId="167" fontId="1" fillId="0" borderId="0" xfId="0" applyNumberFormat="1" applyFont="1" applyFill="1"/>
    <xf numFmtId="169" fontId="9" fillId="4" borderId="1" xfId="1" applyNumberFormat="1" applyFont="1" applyFill="1" applyBorder="1" applyAlignment="1">
      <alignment horizontal="center"/>
    </xf>
    <xf numFmtId="169" fontId="9" fillId="4" borderId="8" xfId="1" applyNumberFormat="1" applyFont="1" applyFill="1" applyBorder="1" applyAlignment="1">
      <alignment horizontal="center"/>
    </xf>
    <xf numFmtId="0" fontId="8" fillId="0" borderId="1" xfId="0" applyFont="1" applyFill="1" applyBorder="1" applyAlignment="1">
      <alignment horizontal="center"/>
    </xf>
    <xf numFmtId="0" fontId="1" fillId="0" borderId="1" xfId="0" applyNumberFormat="1" applyFont="1" applyFill="1" applyBorder="1"/>
    <xf numFmtId="0" fontId="0" fillId="0" borderId="0" xfId="0" applyAlignment="1">
      <alignment horizontal="left"/>
    </xf>
    <xf numFmtId="0" fontId="0" fillId="0" borderId="0" xfId="0" pivotButton="1"/>
    <xf numFmtId="164" fontId="0" fillId="0" borderId="0" xfId="0" applyNumberFormat="1"/>
    <xf numFmtId="0" fontId="4" fillId="3" borderId="5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164" fontId="4" fillId="3" borderId="6" xfId="1" applyNumberFormat="1" applyFont="1" applyFill="1" applyBorder="1" applyAlignment="1">
      <alignment horizontal="center" vertical="center"/>
    </xf>
    <xf numFmtId="164" fontId="4" fillId="3" borderId="7" xfId="1" applyNumberFormat="1" applyFont="1" applyFill="1" applyBorder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 applyAlignment="1">
      <alignment horizontal="left"/>
    </xf>
    <xf numFmtId="171" fontId="0" fillId="0" borderId="0" xfId="0" applyNumberFormat="1"/>
    <xf numFmtId="0" fontId="0" fillId="4" borderId="0" xfId="0" applyFill="1"/>
    <xf numFmtId="0" fontId="0" fillId="6" borderId="0" xfId="0" applyFill="1"/>
    <xf numFmtId="164" fontId="0" fillId="0" borderId="0" xfId="1" applyNumberFormat="1" applyFont="1"/>
    <xf numFmtId="10" fontId="1" fillId="0" borderId="0" xfId="2" applyNumberFormat="1" applyFont="1"/>
    <xf numFmtId="9" fontId="0" fillId="0" borderId="0" xfId="2" applyFont="1"/>
    <xf numFmtId="0" fontId="0" fillId="7" borderId="0" xfId="0" applyFill="1"/>
    <xf numFmtId="0" fontId="0" fillId="5" borderId="0" xfId="0" applyFill="1"/>
    <xf numFmtId="0" fontId="13" fillId="0" borderId="0" xfId="4"/>
    <xf numFmtId="14" fontId="13" fillId="0" borderId="0" xfId="4" applyNumberFormat="1" applyAlignment="1">
      <alignment horizontal="left"/>
    </xf>
    <xf numFmtId="171" fontId="13" fillId="0" borderId="0" xfId="4" applyNumberFormat="1"/>
    <xf numFmtId="0" fontId="0" fillId="0" borderId="0" xfId="0" applyAlignment="1">
      <alignment horizontal="left" indent="1"/>
    </xf>
    <xf numFmtId="164" fontId="0" fillId="0" borderId="0" xfId="0" pivotButton="1" applyNumberFormat="1"/>
    <xf numFmtId="43" fontId="0" fillId="0" borderId="0" xfId="0" applyNumberFormat="1"/>
    <xf numFmtId="2" fontId="0" fillId="4" borderId="0" xfId="0" applyNumberFormat="1" applyFill="1"/>
    <xf numFmtId="167" fontId="0" fillId="0" borderId="0" xfId="0" applyNumberFormat="1"/>
    <xf numFmtId="10" fontId="0" fillId="0" borderId="0" xfId="0" applyNumberFormat="1"/>
    <xf numFmtId="0" fontId="0" fillId="9" borderId="0" xfId="0" applyFill="1"/>
    <xf numFmtId="0" fontId="15" fillId="0" borderId="0" xfId="0" applyFont="1"/>
    <xf numFmtId="0" fontId="15" fillId="9" borderId="0" xfId="0" applyFont="1" applyFill="1"/>
    <xf numFmtId="0" fontId="15" fillId="5" borderId="0" xfId="0" applyFont="1" applyFill="1"/>
    <xf numFmtId="0" fontId="15" fillId="6" borderId="0" xfId="0" applyFont="1" applyFill="1"/>
    <xf numFmtId="0" fontId="0" fillId="9" borderId="0" xfId="0" applyFill="1" applyAlignment="1">
      <alignment horizontal="center"/>
    </xf>
    <xf numFmtId="0" fontId="12" fillId="5" borderId="1" xfId="0" applyFont="1" applyFill="1" applyBorder="1" applyAlignment="1">
      <alignment horizontal="center"/>
    </xf>
    <xf numFmtId="0" fontId="14" fillId="9" borderId="1" xfId="0" applyFont="1" applyFill="1" applyBorder="1" applyAlignment="1">
      <alignment horizontal="left"/>
    </xf>
    <xf numFmtId="44" fontId="14" fillId="9" borderId="1" xfId="1" applyFont="1" applyFill="1" applyBorder="1" applyAlignment="1">
      <alignment horizontal="left"/>
    </xf>
    <xf numFmtId="172" fontId="14" fillId="9" borderId="1" xfId="2" applyNumberFormat="1" applyFont="1" applyFill="1" applyBorder="1" applyAlignment="1">
      <alignment horizontal="right"/>
    </xf>
    <xf numFmtId="172" fontId="14" fillId="9" borderId="1" xfId="2" applyNumberFormat="1" applyFont="1" applyFill="1" applyBorder="1"/>
    <xf numFmtId="10" fontId="1" fillId="0" borderId="0" xfId="2" applyNumberFormat="1" applyFont="1" applyFill="1"/>
    <xf numFmtId="44" fontId="0" fillId="0" borderId="0" xfId="0" applyNumberFormat="1"/>
    <xf numFmtId="0" fontId="2" fillId="0" borderId="3" xfId="0" applyFont="1" applyFill="1" applyBorder="1"/>
    <xf numFmtId="0" fontId="0" fillId="9" borderId="4" xfId="0" applyFill="1" applyBorder="1" applyAlignment="1">
      <alignment horizontal="center"/>
    </xf>
    <xf numFmtId="0" fontId="0" fillId="9" borderId="9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1" fontId="9" fillId="4" borderId="1" xfId="3" applyNumberFormat="1" applyFont="1" applyFill="1" applyBorder="1" applyAlignment="1">
      <alignment horizontal="center" vertical="center"/>
    </xf>
    <xf numFmtId="1" fontId="9" fillId="4" borderId="1" xfId="1" applyNumberFormat="1" applyFont="1" applyFill="1" applyBorder="1" applyAlignment="1">
      <alignment horizontal="center"/>
    </xf>
    <xf numFmtId="1" fontId="9" fillId="4" borderId="8" xfId="3" applyNumberFormat="1" applyFont="1" applyFill="1" applyBorder="1" applyAlignment="1">
      <alignment horizontal="center" vertical="center"/>
    </xf>
    <xf numFmtId="1" fontId="9" fillId="4" borderId="8" xfId="1" applyNumberFormat="1" applyFont="1" applyFill="1" applyBorder="1" applyAlignment="1">
      <alignment horizontal="center"/>
    </xf>
    <xf numFmtId="14" fontId="9" fillId="0" borderId="8" xfId="0" applyNumberFormat="1" applyFont="1" applyFill="1" applyBorder="1" applyAlignment="1">
      <alignment horizontal="center"/>
    </xf>
    <xf numFmtId="14" fontId="7" fillId="5" borderId="1" xfId="0" applyNumberFormat="1" applyFont="1" applyFill="1" applyBorder="1" applyAlignment="1">
      <alignment horizontal="center" vertical="center" wrapText="1"/>
    </xf>
    <xf numFmtId="14" fontId="9" fillId="0" borderId="1" xfId="0" applyNumberFormat="1" applyFont="1" applyFill="1" applyBorder="1" applyAlignment="1">
      <alignment horizontal="center"/>
    </xf>
    <xf numFmtId="14" fontId="0" fillId="0" borderId="0" xfId="0" applyNumberFormat="1"/>
    <xf numFmtId="0" fontId="0" fillId="4" borderId="0" xfId="0" applyNumberFormat="1" applyFill="1"/>
    <xf numFmtId="0" fontId="13" fillId="0" borderId="0" xfId="4" applyFill="1"/>
    <xf numFmtId="14" fontId="13" fillId="0" borderId="0" xfId="4" applyNumberFormat="1" applyFill="1" applyAlignment="1">
      <alignment horizontal="left"/>
    </xf>
    <xf numFmtId="171" fontId="13" fillId="0" borderId="0" xfId="4" applyNumberFormat="1" applyFill="1"/>
    <xf numFmtId="0" fontId="0" fillId="0" borderId="0" xfId="0" applyFill="1"/>
    <xf numFmtId="0" fontId="17" fillId="8" borderId="0" xfId="0" applyFont="1" applyFill="1"/>
    <xf numFmtId="0" fontId="18" fillId="8" borderId="0" xfId="0" applyFont="1" applyFill="1"/>
    <xf numFmtId="0" fontId="0" fillId="0" borderId="0" xfId="0" applyFill="1" applyAlignment="1">
      <alignment horizontal="center"/>
    </xf>
    <xf numFmtId="0" fontId="16" fillId="0" borderId="0" xfId="0" applyFont="1" applyFill="1" applyAlignment="1">
      <alignment horizontal="center"/>
    </xf>
    <xf numFmtId="9" fontId="0" fillId="0" borderId="0" xfId="0" applyNumberFormat="1" applyFill="1" applyAlignment="1">
      <alignment horizontal="center"/>
    </xf>
    <xf numFmtId="9" fontId="16" fillId="0" borderId="0" xfId="0" applyNumberFormat="1" applyFont="1" applyFill="1" applyAlignment="1">
      <alignment horizontal="center"/>
    </xf>
    <xf numFmtId="0" fontId="19" fillId="0" borderId="0" xfId="0" applyFont="1" applyFill="1" applyAlignment="1">
      <alignment horizontal="center" vertical="center"/>
    </xf>
    <xf numFmtId="9" fontId="1" fillId="0" borderId="0" xfId="2" applyFont="1"/>
    <xf numFmtId="0" fontId="2" fillId="0" borderId="12" xfId="0" applyFont="1" applyFill="1" applyBorder="1"/>
    <xf numFmtId="0" fontId="1" fillId="0" borderId="8" xfId="0" applyFont="1" applyFill="1" applyBorder="1"/>
    <xf numFmtId="0" fontId="1" fillId="0" borderId="8" xfId="0" applyNumberFormat="1" applyFont="1" applyFill="1" applyBorder="1"/>
    <xf numFmtId="164" fontId="0" fillId="0" borderId="0" xfId="1" applyNumberFormat="1" applyFont="1" applyFill="1"/>
    <xf numFmtId="44" fontId="1" fillId="4" borderId="1" xfId="0" applyNumberFormat="1" applyFont="1" applyFill="1" applyBorder="1"/>
    <xf numFmtId="167" fontId="1" fillId="4" borderId="4" xfId="3" applyNumberFormat="1" applyFont="1" applyFill="1" applyBorder="1"/>
    <xf numFmtId="44" fontId="1" fillId="4" borderId="1" xfId="1" applyFont="1" applyFill="1" applyBorder="1"/>
    <xf numFmtId="44" fontId="1" fillId="4" borderId="4" xfId="3" applyNumberFormat="1" applyFont="1" applyFill="1" applyBorder="1" applyAlignment="1"/>
    <xf numFmtId="9" fontId="1" fillId="4" borderId="4" xfId="2" applyFont="1" applyFill="1" applyBorder="1" applyAlignment="1"/>
    <xf numFmtId="164" fontId="1" fillId="4" borderId="4" xfId="3" applyNumberFormat="1" applyFont="1" applyFill="1" applyBorder="1" applyAlignment="1"/>
    <xf numFmtId="164" fontId="1" fillId="4" borderId="4" xfId="1" applyNumberFormat="1" applyFont="1" applyFill="1" applyBorder="1"/>
    <xf numFmtId="9" fontId="1" fillId="4" borderId="4" xfId="2" applyFont="1" applyFill="1" applyBorder="1"/>
    <xf numFmtId="9" fontId="1" fillId="4" borderId="1" xfId="2" applyFont="1" applyFill="1" applyBorder="1"/>
    <xf numFmtId="44" fontId="1" fillId="4" borderId="3" xfId="0" applyNumberFormat="1" applyFont="1" applyFill="1" applyBorder="1"/>
    <xf numFmtId="167" fontId="1" fillId="4" borderId="1" xfId="0" applyNumberFormat="1" applyFont="1" applyFill="1" applyBorder="1"/>
    <xf numFmtId="44" fontId="1" fillId="4" borderId="1" xfId="3" applyNumberFormat="1" applyFont="1" applyFill="1" applyBorder="1" applyAlignment="1"/>
    <xf numFmtId="164" fontId="1" fillId="4" borderId="1" xfId="3" applyNumberFormat="1" applyFont="1" applyFill="1" applyBorder="1" applyAlignment="1"/>
    <xf numFmtId="164" fontId="1" fillId="4" borderId="1" xfId="1" applyNumberFormat="1" applyFont="1" applyFill="1" applyBorder="1"/>
    <xf numFmtId="9" fontId="1" fillId="4" borderId="1" xfId="1" applyNumberFormat="1" applyFont="1" applyFill="1" applyBorder="1"/>
    <xf numFmtId="9" fontId="1" fillId="4" borderId="4" xfId="2" applyNumberFormat="1" applyFont="1" applyFill="1" applyBorder="1"/>
    <xf numFmtId="44" fontId="1" fillId="4" borderId="8" xfId="0" applyNumberFormat="1" applyFont="1" applyFill="1" applyBorder="1"/>
    <xf numFmtId="167" fontId="1" fillId="4" borderId="8" xfId="0" applyNumberFormat="1" applyFont="1" applyFill="1" applyBorder="1"/>
    <xf numFmtId="44" fontId="1" fillId="4" borderId="8" xfId="1" applyFont="1" applyFill="1" applyBorder="1"/>
    <xf numFmtId="44" fontId="1" fillId="4" borderId="8" xfId="3" applyNumberFormat="1" applyFont="1" applyFill="1" applyBorder="1" applyAlignment="1"/>
    <xf numFmtId="9" fontId="1" fillId="4" borderId="8" xfId="2" applyNumberFormat="1" applyFont="1" applyFill="1" applyBorder="1" applyAlignment="1"/>
    <xf numFmtId="164" fontId="1" fillId="4" borderId="11" xfId="3" applyNumberFormat="1" applyFont="1" applyFill="1" applyBorder="1" applyAlignment="1"/>
    <xf numFmtId="164" fontId="1" fillId="4" borderId="8" xfId="3" applyNumberFormat="1" applyFont="1" applyFill="1" applyBorder="1" applyAlignment="1"/>
    <xf numFmtId="164" fontId="1" fillId="4" borderId="8" xfId="1" applyNumberFormat="1" applyFont="1" applyFill="1" applyBorder="1"/>
    <xf numFmtId="9" fontId="1" fillId="4" borderId="8" xfId="1" applyNumberFormat="1" applyFont="1" applyFill="1" applyBorder="1"/>
    <xf numFmtId="9" fontId="1" fillId="4" borderId="10" xfId="2" applyNumberFormat="1" applyFont="1" applyFill="1" applyBorder="1"/>
    <xf numFmtId="9" fontId="1" fillId="0" borderId="0" xfId="2" applyFont="1" applyFill="1"/>
    <xf numFmtId="9" fontId="2" fillId="0" borderId="0" xfId="2" applyFont="1" applyFill="1"/>
    <xf numFmtId="9" fontId="4" fillId="3" borderId="7" xfId="2" applyFont="1" applyFill="1" applyBorder="1" applyAlignment="1">
      <alignment horizontal="center" vertical="center"/>
    </xf>
  </cellXfs>
  <cellStyles count="5">
    <cellStyle name="Moeda" xfId="1" builtinId="4"/>
    <cellStyle name="Normal" xfId="0" builtinId="0"/>
    <cellStyle name="Normal 2" xfId="4" xr:uid="{2CA9CB64-FC85-4113-A6E7-FEA6682E59D5}"/>
    <cellStyle name="Porcentagem" xfId="2" builtinId="5"/>
    <cellStyle name="Vírgula" xfId="3" builtinId="3"/>
  </cellStyles>
  <dxfs count="63">
    <dxf>
      <numFmt numFmtId="0" formatCode="General"/>
    </dxf>
    <dxf>
      <numFmt numFmtId="0" formatCode="General"/>
    </dxf>
    <dxf>
      <numFmt numFmtId="12" formatCode="&quot;R$&quot;\ #,##0.00;[Red]\-&quot;R$&quot;\ #,##0.00"/>
    </dxf>
    <dxf>
      <numFmt numFmtId="0" formatCode="General"/>
    </dxf>
    <dxf>
      <numFmt numFmtId="0" formatCode="General"/>
    </dxf>
    <dxf>
      <numFmt numFmtId="171" formatCode="_-\R\$* #,##0.00######_-;\-\R\$* #,##0.00######_-;_ \-;_-@_-"/>
    </dxf>
    <dxf>
      <numFmt numFmtId="171" formatCode="_-\R\$* #,##0.00######_-;\-\R\$* #,##0.00######_-;_ \-;_-@_-"/>
    </dxf>
    <dxf>
      <alignment horizontal="left" vertical="bottom" textRotation="0" wrapText="0" indent="0" justifyLastLine="0" shrinkToFit="0" readingOrder="0"/>
    </dxf>
    <dxf>
      <numFmt numFmtId="19" formatCode="dd/mm/yyyy"/>
      <alignment horizontal="left" vertical="bottom" textRotation="0" wrapText="0" indent="0" justifyLastLine="0" shrinkToFit="0" readingOrder="0"/>
    </dxf>
    <dxf>
      <numFmt numFmtId="2" formatCode="0.00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solid">
          <fgColor indexed="64"/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Segoe UI"/>
        <family val="2"/>
        <scheme val="none"/>
      </font>
      <fill>
        <patternFill>
          <fgColor indexed="64"/>
          <bgColor theme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7" formatCode="_-* #,##0_-;\-* #,##0_-;_-* &quot;-&quot;??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3" formatCode="0%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3" formatCode="0%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_-&quot;R$&quot;\ * #,##0_-;\-&quot;R$&quot;\ * #,##0_-;_-&quot;R$&quot;\ * &quot;-&quot;??_-;_-@_-"/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_-&quot;R$&quot;\ * #,##0_-;\-&quot;R$&quot;\ * #,##0_-;_-&quot;R$&quot;\ * &quot;-&quot;??_-;_-@_-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_-&quot;R$&quot;\ * #,##0_-;\-&quot;R$&quot;\ * #,##0_-;_-&quot;R$&quot;\ * &quot;-&quot;??_-;_-@_-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3" formatCode="0%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-&quot;R$&quot;\ * #,##0.00_-;\-&quot;R$&quot;\ * #,##0.00_-;_-&quot;R$&quot;\ * &quot;-&quot;??_-;_-@_-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9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[$R$-416]\ #,##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[$R$-416]\ #,##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" formatCode="0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[$R$-416]\ #,##0.00"/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169" formatCode="[$R$-416]\ #,##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_-&quot;R$&quot;\ * #,##0_-;\-&quot;R$&quot;\ * #,##0_-;_-&quot;R$&quot;\ * &quot;-&quot;??_-;_-@_-"/>
    </dxf>
    <dxf>
      <numFmt numFmtId="164" formatCode="_-&quot;R$&quot;\ * #,##0_-;\-&quot;R$&quot;\ * #,##0_-;_-&quot;R$&quot;\ * &quot;-&quot;??_-;_-@_-"/>
    </dxf>
    <dxf>
      <numFmt numFmtId="164" formatCode="_-&quot;R$&quot;\ * #,##0_-;\-&quot;R$&quot;\ * #,##0_-;_-&quot;R$&quot;\ * &quot;-&quot;??_-;_-@_-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164" formatCode="_-&quot;R$&quot;\ * #,##0_-;\-&quot;R$&quot;\ * #,##0_-;_-&quot;R$&quot;\ * &quot;-&quot;??_-;_-@_-"/>
    </dxf>
    <dxf>
      <numFmt numFmtId="164" formatCode="_-&quot;R$&quot;\ * #,##0_-;\-&quot;R$&quot;\ * #,##0_-;_-&quot;R$&quot;\ * &quot;-&quot;??_-;_-@_-"/>
    </dxf>
    <dxf>
      <numFmt numFmtId="35" formatCode="_-* #,##0.00_-;\-* #,##0.00_-;_-* &quot;-&quot;??_-;_-@_-"/>
    </dxf>
    <dxf>
      <numFmt numFmtId="164" formatCode="_-&quot;R$&quot;\ * #,##0_-;\-&quot;R$&quot;\ * #,##0_-;_-&quot;R$&quot;\ * &quot;-&quot;??_-;_-@_-"/>
    </dxf>
    <dxf>
      <numFmt numFmtId="14" formatCode="0.00%"/>
    </dxf>
    <dxf>
      <numFmt numFmtId="14" formatCode="0.00%"/>
    </dxf>
    <dxf>
      <numFmt numFmtId="167" formatCode="_-* #,##0_-;\-* #,##0_-;_-* &quot;-&quot;??_-;_-@_-"/>
    </dxf>
    <dxf>
      <numFmt numFmtId="164" formatCode="_-&quot;R$&quot;\ * #,##0_-;\-&quot;R$&quot;\ * #,##0_-;_-&quot;R$&quot;\ * &quot;-&quot;??_-;_-@_-"/>
    </dxf>
    <dxf>
      <numFmt numFmtId="167" formatCode="_-* #,##0_-;\-* #,##0_-;_-* &quot;-&quot;??_-;_-@_-"/>
    </dxf>
    <dxf>
      <numFmt numFmtId="164" formatCode="_-&quot;R$&quot;\ * #,##0_-;\-&quot;R$&quot;\ * #,##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none">
          <fgColor indexed="64"/>
          <bgColor indexed="65"/>
        </patternFill>
      </fill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FFFFFF"/>
        <name val="Calibri"/>
        <family val="2"/>
        <scheme val="minor"/>
      </font>
      <fill>
        <patternFill patternType="solid">
          <fgColor rgb="FF000000"/>
          <bgColor rgb="FF375623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Calibri"/>
        <family val="2"/>
        <scheme val="minor"/>
      </font>
      <fill>
        <patternFill patternType="solid">
          <fgColor indexed="64"/>
          <bgColor theme="9"/>
        </patternFill>
      </fill>
      <alignment horizontal="center" vertical="center" textRotation="0" wrapText="1" indent="0" justifyLastLine="0" shrinkToFit="0" readingOrder="0"/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3"/>
        </patternFill>
      </fill>
    </dxf>
  </dxfs>
  <tableStyles count="3" defaultTableStyle="TableStyleMedium2" defaultPivotStyle="PivotStyleLight16">
    <tableStyle name="Estilo de Segmentação de Dados 1" pivot="0" table="0" count="1" xr9:uid="{36E22779-F1DA-44FE-9922-B1C45468AC0F}">
      <tableStyleElement type="headerRow" dxfId="62"/>
    </tableStyle>
    <tableStyle name="Estilo de Segmentação de Dados 2" pivot="0" table="0" count="1" xr9:uid="{AEB010A0-7FB9-4AB2-9F6D-F9A307EB090F}"/>
    <tableStyle name="Estilo de Segmentação de Dados 2 2" pivot="0" table="0" count="2" xr9:uid="{7C974B46-EDDF-4C8D-9200-40D7FC0F4F77}">
      <tableStyleElement type="wholeTable" dxfId="61"/>
    </tableStyle>
  </tableStyles>
  <colors>
    <mruColors>
      <color rgb="FF45EF29"/>
      <color rgb="FF11C1FF"/>
      <color rgb="FF00FF00"/>
      <color rgb="FF40C511"/>
      <color rgb="FF777777"/>
      <color rgb="FF808080"/>
      <color rgb="FFFFFF66"/>
      <color rgb="FFFFFF99"/>
    </mruColors>
  </colors>
  <extLst>
    <ext xmlns:x14="http://schemas.microsoft.com/office/spreadsheetml/2009/9/main" uri="{46F421CA-312F-682f-3DD2-61675219B42D}">
      <x14:dxfs count="2">
        <dxf>
          <font>
            <b/>
            <i val="0"/>
            <sz val="12"/>
            <color theme="0"/>
          </font>
          <fill>
            <patternFill>
              <fgColor rgb="FF0070C0"/>
              <bgColor rgb="FF0070C0"/>
            </patternFill>
          </fill>
        </dxf>
        <dxf>
          <font>
            <b/>
            <i val="0"/>
            <sz val="14"/>
            <color theme="0"/>
          </font>
          <fill>
            <patternFill>
              <fgColor rgb="FF0070C0"/>
              <bgColor rgb="FF0070C0"/>
            </patternFill>
          </fill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/>
        <x14:slicerStyle name="Estilo de Segmentação de Dados 2">
          <x14:slicerStyleElements>
            <x14:slicerStyleElement type="selectedItemWithData" dxfId="1"/>
          </x14:slicerStyleElements>
        </x14:slicerStyle>
        <x14:slicerStyle name="Estilo de Segmentação de Dados 2 2">
          <x14:slicerStyleElements>
            <x14:slicerStyleElement type="selectedItemWith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7/relationships/slicerCache" Target="slicerCaches/slicerCache4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microsoft.com/office/2007/relationships/slicerCache" Target="slicerCaches/slicerCache3.xml"/><Relationship Id="rId17" Type="http://schemas.microsoft.com/office/2007/relationships/slicerCache" Target="slicerCaches/slicerCache8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microsoft.com/office/2007/relationships/slicerCache" Target="slicerCaches/slicerCache7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2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6.xml"/><Relationship Id="rId23" Type="http://schemas.openxmlformats.org/officeDocument/2006/relationships/calcChain" Target="calcChain.xml"/><Relationship Id="rId10" Type="http://schemas.microsoft.com/office/2007/relationships/slicerCache" Target="slicerCaches/slicerCache1.xml"/><Relationship Id="rId19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7/relationships/slicerCache" Target="slicerCaches/slicerCache5.xml"/><Relationship Id="rId22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[CARTEIRA V1 - Copia.xlsm]TAB DIN PROVENTOS B3!Tabela dinâmica2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815176258571596E-2"/>
          <c:y val="0.12454320248114559"/>
          <c:w val="0.96609449390099356"/>
          <c:h val="0.72114943058379499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 DIN PROVENTOS B3'!$B$5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'TAB DIN PROVENTOS B3'!$A$6:$A$23</c:f>
              <c:strCache>
                <c:ptCount val="17"/>
                <c:pt idx="0">
                  <c:v>XPML11</c:v>
                </c:pt>
                <c:pt idx="1">
                  <c:v>RBVA11</c:v>
                </c:pt>
                <c:pt idx="2">
                  <c:v>BCFF11</c:v>
                </c:pt>
                <c:pt idx="3">
                  <c:v>BRCR11</c:v>
                </c:pt>
                <c:pt idx="4">
                  <c:v>HGLG11</c:v>
                </c:pt>
                <c:pt idx="5">
                  <c:v>HGRE11</c:v>
                </c:pt>
                <c:pt idx="6">
                  <c:v>HGRU11</c:v>
                </c:pt>
                <c:pt idx="7">
                  <c:v>KNRI11</c:v>
                </c:pt>
                <c:pt idx="8">
                  <c:v>MXRF11</c:v>
                </c:pt>
                <c:pt idx="9">
                  <c:v>VILG11</c:v>
                </c:pt>
                <c:pt idx="10">
                  <c:v>VINO11</c:v>
                </c:pt>
                <c:pt idx="11">
                  <c:v>XPLG11</c:v>
                </c:pt>
                <c:pt idx="12">
                  <c:v>LVBI11</c:v>
                </c:pt>
                <c:pt idx="13">
                  <c:v>ALZR11</c:v>
                </c:pt>
                <c:pt idx="14">
                  <c:v>BTLG11</c:v>
                </c:pt>
                <c:pt idx="15">
                  <c:v>IRDM11</c:v>
                </c:pt>
                <c:pt idx="16">
                  <c:v>HCTR11</c:v>
                </c:pt>
              </c:strCache>
            </c:strRef>
          </c:cat>
          <c:val>
            <c:numRef>
              <c:f>'TAB DIN PROVENTOS B3'!$B$6:$B$23</c:f>
              <c:numCache>
                <c:formatCode>_-"R$"\ * #,##0_-;\-"R$"\ * #,##0_-;_-"R$"\ * "-"??_-;_-@_-</c:formatCode>
                <c:ptCount val="17"/>
                <c:pt idx="0">
                  <c:v>387.3</c:v>
                </c:pt>
                <c:pt idx="1">
                  <c:v>230.7</c:v>
                </c:pt>
                <c:pt idx="2">
                  <c:v>444.34</c:v>
                </c:pt>
                <c:pt idx="3">
                  <c:v>240.57</c:v>
                </c:pt>
                <c:pt idx="4">
                  <c:v>339.25</c:v>
                </c:pt>
                <c:pt idx="5">
                  <c:v>241.28999999999996</c:v>
                </c:pt>
                <c:pt idx="6">
                  <c:v>235.24</c:v>
                </c:pt>
                <c:pt idx="7">
                  <c:v>197.63</c:v>
                </c:pt>
                <c:pt idx="8">
                  <c:v>389.49</c:v>
                </c:pt>
                <c:pt idx="9">
                  <c:v>243.10000000000002</c:v>
                </c:pt>
                <c:pt idx="10">
                  <c:v>252.21999999999997</c:v>
                </c:pt>
                <c:pt idx="11">
                  <c:v>280.62</c:v>
                </c:pt>
                <c:pt idx="12">
                  <c:v>256.51</c:v>
                </c:pt>
                <c:pt idx="13">
                  <c:v>519</c:v>
                </c:pt>
                <c:pt idx="14">
                  <c:v>219.98000000000002</c:v>
                </c:pt>
                <c:pt idx="15">
                  <c:v>712.18000000000006</c:v>
                </c:pt>
                <c:pt idx="16">
                  <c:v>385.89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D06-4F5C-9AEA-D938C77534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8"/>
        <c:overlap val="-27"/>
        <c:axId val="923785096"/>
        <c:axId val="923788048"/>
      </c:barChart>
      <c:catAx>
        <c:axId val="923785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23788048"/>
        <c:crosses val="autoZero"/>
        <c:auto val="1"/>
        <c:lblAlgn val="ctr"/>
        <c:lblOffset val="100"/>
        <c:noMultiLvlLbl val="0"/>
      </c:catAx>
      <c:valAx>
        <c:axId val="923788048"/>
        <c:scaling>
          <c:orientation val="minMax"/>
        </c:scaling>
        <c:delete val="1"/>
        <c:axPos val="l"/>
        <c:numFmt formatCode="_-&quot;R$&quot;\ * #,##0_-;\-&quot;R$&quot;\ * #,##0_-;_-&quot;R$&quot;\ * &quot;-&quot;??_-;_-@_-" sourceLinked="1"/>
        <c:majorTickMark val="none"/>
        <c:minorTickMark val="none"/>
        <c:tickLblPos val="nextTo"/>
        <c:crossAx val="923785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[CARTEIRA V1 - Copia.xlsm]TAB DIN CONSOLIDADO!Tabela dinâmica3</c:name>
    <c:fmtId val="8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circle"/>
          <c:size val="5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270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8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>
              <a:tint val="38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>
              <a:tint val="46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>
              <a:tint val="54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>
              <a:tint val="62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>
              <a:tint val="69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>
              <a:tint val="77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>
              <a:tint val="85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>
              <a:tint val="93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270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>
              <a:shade val="92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30"/>
        <c:spPr>
          <a:solidFill>
            <a:schemeClr val="accent1">
              <a:shade val="84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>
              <a:shade val="76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>
              <a:shade val="68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>
              <a:shade val="61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>
              <a:shade val="53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>
              <a:shade val="45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>
              <a:shade val="37000"/>
            </a:schemeClr>
          </a:solidFill>
          <a:ln w="1270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5351552930883642"/>
          <c:y val="4.4743942448293213E-3"/>
          <c:w val="0.59798139609746104"/>
          <c:h val="0.97688240149365069"/>
        </c:manualLayout>
      </c:layout>
      <c:pieChart>
        <c:varyColors val="1"/>
        <c:ser>
          <c:idx val="0"/>
          <c:order val="0"/>
          <c:tx>
            <c:strRef>
              <c:f>'TAB DIN CONSOLIDADO'!$F$3</c:f>
              <c:strCache>
                <c:ptCount val="1"/>
                <c:pt idx="0">
                  <c:v>Total</c:v>
                </c:pt>
              </c:strCache>
            </c:strRef>
          </c:tx>
          <c:spPr>
            <a:ln w="12700"/>
          </c:spPr>
          <c:dPt>
            <c:idx val="0"/>
            <c:bubble3D val="0"/>
            <c:spPr>
              <a:solidFill>
                <a:schemeClr val="accent1">
                  <a:tint val="38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055-4001-B1B4-07E1B0FC69DD}"/>
              </c:ext>
            </c:extLst>
          </c:dPt>
          <c:dPt>
            <c:idx val="1"/>
            <c:bubble3D val="0"/>
            <c:spPr>
              <a:solidFill>
                <a:schemeClr val="accent1">
                  <a:tint val="46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055-4001-B1B4-07E1B0FC69DD}"/>
              </c:ext>
            </c:extLst>
          </c:dPt>
          <c:dPt>
            <c:idx val="2"/>
            <c:bubble3D val="0"/>
            <c:spPr>
              <a:solidFill>
                <a:schemeClr val="accent1">
                  <a:tint val="54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055-4001-B1B4-07E1B0FC69DD}"/>
              </c:ext>
            </c:extLst>
          </c:dPt>
          <c:dPt>
            <c:idx val="3"/>
            <c:bubble3D val="0"/>
            <c:spPr>
              <a:solidFill>
                <a:schemeClr val="accent1">
                  <a:tint val="62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055-4001-B1B4-07E1B0FC69DD}"/>
              </c:ext>
            </c:extLst>
          </c:dPt>
          <c:dPt>
            <c:idx val="4"/>
            <c:bubble3D val="0"/>
            <c:spPr>
              <a:solidFill>
                <a:schemeClr val="accent1">
                  <a:tint val="69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055-4001-B1B4-07E1B0FC69DD}"/>
              </c:ext>
            </c:extLst>
          </c:dPt>
          <c:dPt>
            <c:idx val="5"/>
            <c:bubble3D val="0"/>
            <c:spPr>
              <a:solidFill>
                <a:schemeClr val="accent1">
                  <a:tint val="77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055-4001-B1B4-07E1B0FC69DD}"/>
              </c:ext>
            </c:extLst>
          </c:dPt>
          <c:dPt>
            <c:idx val="6"/>
            <c:bubble3D val="0"/>
            <c:spPr>
              <a:solidFill>
                <a:schemeClr val="accent1">
                  <a:tint val="85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055-4001-B1B4-07E1B0FC69DD}"/>
              </c:ext>
            </c:extLst>
          </c:dPt>
          <c:dPt>
            <c:idx val="7"/>
            <c:bubble3D val="0"/>
            <c:spPr>
              <a:solidFill>
                <a:schemeClr val="accent1">
                  <a:tint val="93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055-4001-B1B4-07E1B0FC69DD}"/>
              </c:ext>
            </c:extLst>
          </c:dPt>
          <c:dPt>
            <c:idx val="8"/>
            <c:bubble3D val="0"/>
            <c:spPr>
              <a:solidFill>
                <a:schemeClr val="accent1"/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055-4001-B1B4-07E1B0FC69DD}"/>
              </c:ext>
            </c:extLst>
          </c:dPt>
          <c:dPt>
            <c:idx val="9"/>
            <c:bubble3D val="0"/>
            <c:spPr>
              <a:solidFill>
                <a:schemeClr val="accent1">
                  <a:shade val="92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055-4001-B1B4-07E1B0FC69DD}"/>
              </c:ext>
            </c:extLst>
          </c:dPt>
          <c:dPt>
            <c:idx val="10"/>
            <c:bubble3D val="0"/>
            <c:spPr>
              <a:solidFill>
                <a:schemeClr val="accent1">
                  <a:shade val="84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055-4001-B1B4-07E1B0FC69DD}"/>
              </c:ext>
            </c:extLst>
          </c:dPt>
          <c:dPt>
            <c:idx val="11"/>
            <c:bubble3D val="0"/>
            <c:spPr>
              <a:solidFill>
                <a:schemeClr val="accent1">
                  <a:shade val="76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055-4001-B1B4-07E1B0FC69DD}"/>
              </c:ext>
            </c:extLst>
          </c:dPt>
          <c:dPt>
            <c:idx val="12"/>
            <c:bubble3D val="0"/>
            <c:spPr>
              <a:solidFill>
                <a:schemeClr val="accent1">
                  <a:shade val="68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8055-4001-B1B4-07E1B0FC69DD}"/>
              </c:ext>
            </c:extLst>
          </c:dPt>
          <c:dPt>
            <c:idx val="13"/>
            <c:bubble3D val="0"/>
            <c:spPr>
              <a:solidFill>
                <a:schemeClr val="accent1">
                  <a:shade val="61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8055-4001-B1B4-07E1B0FC69DD}"/>
              </c:ext>
            </c:extLst>
          </c:dPt>
          <c:dPt>
            <c:idx val="14"/>
            <c:bubble3D val="0"/>
            <c:spPr>
              <a:solidFill>
                <a:schemeClr val="accent1">
                  <a:shade val="53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8055-4001-B1B4-07E1B0FC69DD}"/>
              </c:ext>
            </c:extLst>
          </c:dPt>
          <c:dPt>
            <c:idx val="15"/>
            <c:bubble3D val="0"/>
            <c:spPr>
              <a:solidFill>
                <a:schemeClr val="accent1">
                  <a:shade val="45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F-8055-4001-B1B4-07E1B0FC69DD}"/>
              </c:ext>
            </c:extLst>
          </c:dPt>
          <c:dPt>
            <c:idx val="16"/>
            <c:bubble3D val="0"/>
            <c:spPr>
              <a:solidFill>
                <a:schemeClr val="accent1">
                  <a:shade val="37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21-8055-4001-B1B4-07E1B0FC69D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 DIN CONSOLIDADO'!$E$4:$E$21</c:f>
              <c:strCache>
                <c:ptCount val="17"/>
                <c:pt idx="0">
                  <c:v>ALZR11</c:v>
                </c:pt>
                <c:pt idx="1">
                  <c:v>BCFF11</c:v>
                </c:pt>
                <c:pt idx="2">
                  <c:v>BRCR11</c:v>
                </c:pt>
                <c:pt idx="3">
                  <c:v>BTLG11</c:v>
                </c:pt>
                <c:pt idx="4">
                  <c:v>HCTR11</c:v>
                </c:pt>
                <c:pt idx="5">
                  <c:v>HGLG11</c:v>
                </c:pt>
                <c:pt idx="6">
                  <c:v>HGRE11</c:v>
                </c:pt>
                <c:pt idx="7">
                  <c:v>HGRU11</c:v>
                </c:pt>
                <c:pt idx="8">
                  <c:v>IRDM11</c:v>
                </c:pt>
                <c:pt idx="9">
                  <c:v>KNRI11</c:v>
                </c:pt>
                <c:pt idx="10">
                  <c:v>LVBI11</c:v>
                </c:pt>
                <c:pt idx="11">
                  <c:v>MXRF11</c:v>
                </c:pt>
                <c:pt idx="12">
                  <c:v>RBVA11</c:v>
                </c:pt>
                <c:pt idx="13">
                  <c:v>VILG11</c:v>
                </c:pt>
                <c:pt idx="14">
                  <c:v>VINO11</c:v>
                </c:pt>
                <c:pt idx="15">
                  <c:v>XPLG11</c:v>
                </c:pt>
                <c:pt idx="16">
                  <c:v>XPML11</c:v>
                </c:pt>
              </c:strCache>
            </c:strRef>
          </c:cat>
          <c:val>
            <c:numRef>
              <c:f>'TAB DIN CONSOLIDADO'!$F$4:$F$21</c:f>
              <c:numCache>
                <c:formatCode>General</c:formatCode>
                <c:ptCount val="17"/>
                <c:pt idx="0">
                  <c:v>3516.9</c:v>
                </c:pt>
                <c:pt idx="1">
                  <c:v>3870.7200000000003</c:v>
                </c:pt>
                <c:pt idx="2">
                  <c:v>3698.8700000000003</c:v>
                </c:pt>
                <c:pt idx="3">
                  <c:v>2575</c:v>
                </c:pt>
                <c:pt idx="4">
                  <c:v>3565.7999999999997</c:v>
                </c:pt>
                <c:pt idx="5">
                  <c:v>3601.5</c:v>
                </c:pt>
                <c:pt idx="6">
                  <c:v>4035.36</c:v>
                </c:pt>
                <c:pt idx="7">
                  <c:v>3104.3999999999996</c:v>
                </c:pt>
                <c:pt idx="8">
                  <c:v>2575.25</c:v>
                </c:pt>
                <c:pt idx="9">
                  <c:v>4584</c:v>
                </c:pt>
                <c:pt idx="10">
                  <c:v>3364</c:v>
                </c:pt>
                <c:pt idx="11">
                  <c:v>2399.9</c:v>
                </c:pt>
                <c:pt idx="12">
                  <c:v>3009.1699999999996</c:v>
                </c:pt>
                <c:pt idx="13">
                  <c:v>2981.61</c:v>
                </c:pt>
                <c:pt idx="14">
                  <c:v>3000</c:v>
                </c:pt>
                <c:pt idx="15">
                  <c:v>3735.58</c:v>
                </c:pt>
                <c:pt idx="16">
                  <c:v>2278.3200000000002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8055-4001-B1B4-07E1B0FC69DD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[CARTEIRA V1 - Copia.xlsm]TAB DIN CONSOLIDADO!Tabela dinâmica4</c:name>
    <c:fmtId val="12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270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>
              <a:tint val="48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>
              <a:tint val="65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>
              <a:tint val="83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270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>
              <a:shade val="82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>
              <a:shade val="65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>
              <a:shade val="47000"/>
            </a:schemeClr>
          </a:solidFill>
          <a:ln w="1270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7.5205838996152841E-3"/>
          <c:y val="4.2874729194105718E-2"/>
          <c:w val="0.96262528480313914"/>
          <c:h val="0.91964590490291409"/>
        </c:manualLayout>
      </c:layout>
      <c:pieChart>
        <c:varyColors val="1"/>
        <c:ser>
          <c:idx val="0"/>
          <c:order val="0"/>
          <c:tx>
            <c:strRef>
              <c:f>'TAB DIN CONSOLIDADO'!$I$3</c:f>
              <c:strCache>
                <c:ptCount val="1"/>
                <c:pt idx="0">
                  <c:v>Total</c:v>
                </c:pt>
              </c:strCache>
            </c:strRef>
          </c:tx>
          <c:spPr>
            <a:ln w="12700"/>
          </c:spPr>
          <c:dPt>
            <c:idx val="0"/>
            <c:bubble3D val="0"/>
            <c:spPr>
              <a:solidFill>
                <a:schemeClr val="accent1">
                  <a:tint val="48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A0B-4023-BC2D-15E001CB1CA7}"/>
              </c:ext>
            </c:extLst>
          </c:dPt>
          <c:dPt>
            <c:idx val="1"/>
            <c:bubble3D val="0"/>
            <c:spPr>
              <a:solidFill>
                <a:schemeClr val="accent1">
                  <a:tint val="65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A0B-4023-BC2D-15E001CB1CA7}"/>
              </c:ext>
            </c:extLst>
          </c:dPt>
          <c:dPt>
            <c:idx val="2"/>
            <c:bubble3D val="0"/>
            <c:spPr>
              <a:solidFill>
                <a:schemeClr val="accent1">
                  <a:tint val="83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A0B-4023-BC2D-15E001CB1CA7}"/>
              </c:ext>
            </c:extLst>
          </c:dPt>
          <c:dPt>
            <c:idx val="3"/>
            <c:bubble3D val="0"/>
            <c:spPr>
              <a:solidFill>
                <a:schemeClr val="accent1"/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A0B-4023-BC2D-15E001CB1CA7}"/>
              </c:ext>
            </c:extLst>
          </c:dPt>
          <c:dPt>
            <c:idx val="4"/>
            <c:bubble3D val="0"/>
            <c:spPr>
              <a:solidFill>
                <a:schemeClr val="accent1">
                  <a:shade val="82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A0B-4023-BC2D-15E001CB1CA7}"/>
              </c:ext>
            </c:extLst>
          </c:dPt>
          <c:dPt>
            <c:idx val="5"/>
            <c:bubble3D val="0"/>
            <c:spPr>
              <a:solidFill>
                <a:schemeClr val="accent1">
                  <a:shade val="65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A0B-4023-BC2D-15E001CB1CA7}"/>
              </c:ext>
            </c:extLst>
          </c:dPt>
          <c:dPt>
            <c:idx val="6"/>
            <c:bubble3D val="0"/>
            <c:spPr>
              <a:solidFill>
                <a:schemeClr val="accent1">
                  <a:shade val="47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A0B-4023-BC2D-15E001CB1CA7}"/>
              </c:ext>
            </c:extLst>
          </c:dPt>
          <c:dPt>
            <c:idx val="7"/>
            <c:bubble3D val="0"/>
            <c:spPr>
              <a:solidFill>
                <a:schemeClr val="accent1">
                  <a:shade val="47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A0B-4023-BC2D-15E001CB1CA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 DIN CONSOLIDADO'!$H$4:$H$11</c:f>
              <c:strCache>
                <c:ptCount val="7"/>
                <c:pt idx="0">
                  <c:v>B3SA3</c:v>
                </c:pt>
                <c:pt idx="1">
                  <c:v>BBAS3</c:v>
                </c:pt>
                <c:pt idx="2">
                  <c:v>CMIG3</c:v>
                </c:pt>
                <c:pt idx="3">
                  <c:v>SANB4</c:v>
                </c:pt>
                <c:pt idx="4">
                  <c:v>SAPR3</c:v>
                </c:pt>
                <c:pt idx="5">
                  <c:v>TAEE4</c:v>
                </c:pt>
                <c:pt idx="6">
                  <c:v>TRPL4</c:v>
                </c:pt>
              </c:strCache>
            </c:strRef>
          </c:cat>
          <c:val>
            <c:numRef>
              <c:f>'TAB DIN CONSOLIDADO'!$I$4:$I$11</c:f>
              <c:numCache>
                <c:formatCode>General</c:formatCode>
                <c:ptCount val="7"/>
                <c:pt idx="0">
                  <c:v>3719.25</c:v>
                </c:pt>
                <c:pt idx="1">
                  <c:v>4237.2000000000007</c:v>
                </c:pt>
                <c:pt idx="2">
                  <c:v>1782</c:v>
                </c:pt>
                <c:pt idx="3">
                  <c:v>3920</c:v>
                </c:pt>
                <c:pt idx="4">
                  <c:v>2656</c:v>
                </c:pt>
                <c:pt idx="5">
                  <c:v>3468.64</c:v>
                </c:pt>
                <c:pt idx="6">
                  <c:v>3560.35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0B-4023-BC2D-15E001CB1CA7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[CARTEIRA V1 - Copia.xlsm]TAB DIN PROVENTOS B3!Tabela dinâmica8</c:name>
    <c:fmtId val="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-5400000" spcFirstLastPara="1" vertOverflow="ellipsis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6897083456957007E-2"/>
          <c:y val="0.14464531963023597"/>
          <c:w val="0.96927803007825986"/>
          <c:h val="0.550493277628482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 DIN PROVENTOS B3'!$E$5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 DIN PROVENTOS B3'!$D$6:$D$40</c:f>
              <c:multiLvlStrCache>
                <c:ptCount val="31"/>
                <c:lvl>
                  <c:pt idx="0">
                    <c:v>FEVEREIRO</c:v>
                  </c:pt>
                  <c:pt idx="1">
                    <c:v>MARÇO</c:v>
                  </c:pt>
                  <c:pt idx="2">
                    <c:v>ABRIL</c:v>
                  </c:pt>
                  <c:pt idx="3">
                    <c:v>JUNHO</c:v>
                  </c:pt>
                  <c:pt idx="4">
                    <c:v>JULHO</c:v>
                  </c:pt>
                  <c:pt idx="5">
                    <c:v>AGOSTO</c:v>
                  </c:pt>
                  <c:pt idx="6">
                    <c:v>SETEMBRO</c:v>
                  </c:pt>
                  <c:pt idx="7">
                    <c:v>OUTUBRO</c:v>
                  </c:pt>
                  <c:pt idx="8">
                    <c:v>NOVEMBRO</c:v>
                  </c:pt>
                  <c:pt idx="9">
                    <c:v>DEZEMBRO</c:v>
                  </c:pt>
                  <c:pt idx="10">
                    <c:v>JANEIRO</c:v>
                  </c:pt>
                  <c:pt idx="11">
                    <c:v>FEVEREIRO</c:v>
                  </c:pt>
                  <c:pt idx="12">
                    <c:v>MARÇO</c:v>
                  </c:pt>
                  <c:pt idx="13">
                    <c:v>ABRIL</c:v>
                  </c:pt>
                  <c:pt idx="14">
                    <c:v>MAIO</c:v>
                  </c:pt>
                  <c:pt idx="15">
                    <c:v>JUNHO</c:v>
                  </c:pt>
                  <c:pt idx="16">
                    <c:v>JULHO</c:v>
                  </c:pt>
                  <c:pt idx="17">
                    <c:v>AGOSTO</c:v>
                  </c:pt>
                  <c:pt idx="18">
                    <c:v>SETEMBRO</c:v>
                  </c:pt>
                  <c:pt idx="19">
                    <c:v>OUTUBRO</c:v>
                  </c:pt>
                  <c:pt idx="20">
                    <c:v>NOVEMBRO</c:v>
                  </c:pt>
                  <c:pt idx="21">
                    <c:v>DEZEMBRO</c:v>
                  </c:pt>
                  <c:pt idx="22">
                    <c:v>JANEIRO</c:v>
                  </c:pt>
                  <c:pt idx="23">
                    <c:v>FEVEREIRO</c:v>
                  </c:pt>
                  <c:pt idx="24">
                    <c:v>MARÇO</c:v>
                  </c:pt>
                  <c:pt idx="25">
                    <c:v>ABRIL</c:v>
                  </c:pt>
                  <c:pt idx="26">
                    <c:v>MAIO</c:v>
                  </c:pt>
                  <c:pt idx="27">
                    <c:v>JUNHO</c:v>
                  </c:pt>
                  <c:pt idx="28">
                    <c:v>JULHO</c:v>
                  </c:pt>
                  <c:pt idx="29">
                    <c:v>AGOSTO</c:v>
                  </c:pt>
                  <c:pt idx="30">
                    <c:v>SETEMBRO</c:v>
                  </c:pt>
                </c:lvl>
                <c:lvl>
                  <c:pt idx="0">
                    <c:v>2020</c:v>
                  </c:pt>
                  <c:pt idx="10">
                    <c:v>2021</c:v>
                  </c:pt>
                  <c:pt idx="22">
                    <c:v>2022</c:v>
                  </c:pt>
                </c:lvl>
              </c:multiLvlStrCache>
            </c:multiLvlStrRef>
          </c:cat>
          <c:val>
            <c:numRef>
              <c:f>'TAB DIN PROVENTOS B3'!$E$6:$E$40</c:f>
              <c:numCache>
                <c:formatCode>_("R$"* #,##0.00_);_("R$"* \(#,##0.00\);_("R$"* "-"??_);_(@_)</c:formatCode>
                <c:ptCount val="31"/>
                <c:pt idx="0">
                  <c:v>1.6400000000000001</c:v>
                </c:pt>
                <c:pt idx="1">
                  <c:v>2.56</c:v>
                </c:pt>
                <c:pt idx="2">
                  <c:v>1.7399999999999998</c:v>
                </c:pt>
                <c:pt idx="3">
                  <c:v>1.58</c:v>
                </c:pt>
                <c:pt idx="4">
                  <c:v>19.599999999999998</c:v>
                </c:pt>
                <c:pt idx="5">
                  <c:v>83.65</c:v>
                </c:pt>
                <c:pt idx="6">
                  <c:v>28.72</c:v>
                </c:pt>
                <c:pt idx="7">
                  <c:v>13.1</c:v>
                </c:pt>
                <c:pt idx="8">
                  <c:v>127.49999999999999</c:v>
                </c:pt>
                <c:pt idx="9">
                  <c:v>148.91</c:v>
                </c:pt>
                <c:pt idx="10">
                  <c:v>148.02999999999997</c:v>
                </c:pt>
                <c:pt idx="11">
                  <c:v>122.47</c:v>
                </c:pt>
                <c:pt idx="12">
                  <c:v>160.85</c:v>
                </c:pt>
                <c:pt idx="13">
                  <c:v>75.760000000000005</c:v>
                </c:pt>
                <c:pt idx="14">
                  <c:v>770.69</c:v>
                </c:pt>
                <c:pt idx="15">
                  <c:v>83.68</c:v>
                </c:pt>
                <c:pt idx="16">
                  <c:v>39.9</c:v>
                </c:pt>
                <c:pt idx="17">
                  <c:v>104.18</c:v>
                </c:pt>
                <c:pt idx="18">
                  <c:v>177.29000000000002</c:v>
                </c:pt>
                <c:pt idx="19">
                  <c:v>198.29</c:v>
                </c:pt>
                <c:pt idx="20">
                  <c:v>539.66</c:v>
                </c:pt>
                <c:pt idx="21">
                  <c:v>1074.6100000000001</c:v>
                </c:pt>
                <c:pt idx="22">
                  <c:v>706.4799999999999</c:v>
                </c:pt>
                <c:pt idx="23">
                  <c:v>255.37</c:v>
                </c:pt>
                <c:pt idx="24">
                  <c:v>215.32</c:v>
                </c:pt>
                <c:pt idx="25">
                  <c:v>347.01</c:v>
                </c:pt>
                <c:pt idx="26">
                  <c:v>647.17000000000007</c:v>
                </c:pt>
                <c:pt idx="27">
                  <c:v>783</c:v>
                </c:pt>
                <c:pt idx="28">
                  <c:v>1233.68</c:v>
                </c:pt>
                <c:pt idx="29">
                  <c:v>1230.96</c:v>
                </c:pt>
                <c:pt idx="30">
                  <c:v>1688.68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F0-4F00-A051-830634A174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-27"/>
        <c:axId val="1090261240"/>
        <c:axId val="1090263536"/>
      </c:barChart>
      <c:catAx>
        <c:axId val="1090261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0263536"/>
        <c:crosses val="autoZero"/>
        <c:auto val="1"/>
        <c:lblAlgn val="ctr"/>
        <c:lblOffset val="100"/>
        <c:noMultiLvlLbl val="0"/>
      </c:catAx>
      <c:valAx>
        <c:axId val="1090263536"/>
        <c:scaling>
          <c:orientation val="minMax"/>
        </c:scaling>
        <c:delete val="1"/>
        <c:axPos val="l"/>
        <c:numFmt formatCode="_(&quot;R$&quot;* #,##0.00_);_(&quot;R$&quot;* \(#,##0.00\);_(&quot;R$&quot;* &quot;-&quot;??_);_(@_)" sourceLinked="1"/>
        <c:majorTickMark val="none"/>
        <c:minorTickMark val="none"/>
        <c:tickLblPos val="nextTo"/>
        <c:crossAx val="1090261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[CARTEIRA V1 - Copia.xlsm]TAB DIN PROVENTOS B3!Tabela dinâmica11</c:name>
    <c:fmtId val="7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00206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1.5089163237311385E-2"/>
          <c:y val="0.1116751269035533"/>
          <c:w val="0.97547738407023055"/>
          <c:h val="0.5686083909562065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'TAB DIN PROVENTOS B3'!$L$5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rgbClr val="00206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'TAB DIN PROVENTOS B3'!$K$6:$K$25</c:f>
              <c:multiLvlStrCache>
                <c:ptCount val="17"/>
                <c:lvl>
                  <c:pt idx="0">
                    <c:v>MAIO</c:v>
                  </c:pt>
                  <c:pt idx="1">
                    <c:v>JUNHO</c:v>
                  </c:pt>
                  <c:pt idx="2">
                    <c:v>JULHO</c:v>
                  </c:pt>
                  <c:pt idx="3">
                    <c:v>AGOSTO</c:v>
                  </c:pt>
                  <c:pt idx="4">
                    <c:v>SETEMBRO</c:v>
                  </c:pt>
                  <c:pt idx="5">
                    <c:v>OUTUBRO</c:v>
                  </c:pt>
                  <c:pt idx="6">
                    <c:v>NOVEMBRO</c:v>
                  </c:pt>
                  <c:pt idx="7">
                    <c:v>DEZEMBRO</c:v>
                  </c:pt>
                  <c:pt idx="8">
                    <c:v>JANEIRO</c:v>
                  </c:pt>
                  <c:pt idx="9">
                    <c:v>FEVEREIRO</c:v>
                  </c:pt>
                  <c:pt idx="10">
                    <c:v>MARÇO</c:v>
                  </c:pt>
                  <c:pt idx="11">
                    <c:v>ABRIL</c:v>
                  </c:pt>
                  <c:pt idx="12">
                    <c:v>MAIO</c:v>
                  </c:pt>
                  <c:pt idx="13">
                    <c:v>JUNHO</c:v>
                  </c:pt>
                  <c:pt idx="14">
                    <c:v>JULHO</c:v>
                  </c:pt>
                  <c:pt idx="15">
                    <c:v>AGOSTO</c:v>
                  </c:pt>
                  <c:pt idx="16">
                    <c:v>SETEMBRO</c:v>
                  </c:pt>
                </c:lvl>
                <c:lvl>
                  <c:pt idx="0">
                    <c:v>2021</c:v>
                  </c:pt>
                  <c:pt idx="8">
                    <c:v>2022</c:v>
                  </c:pt>
                </c:lvl>
              </c:multiLvlStrCache>
            </c:multiLvlStrRef>
          </c:cat>
          <c:val>
            <c:numRef>
              <c:f>'TAB DIN PROVENTOS B3'!$L$6:$L$25</c:f>
              <c:numCache>
                <c:formatCode>_(* #,##0.00_);_(* \(#,##0.00\);_(* "-"??_);_(@_)</c:formatCode>
                <c:ptCount val="17"/>
                <c:pt idx="0">
                  <c:v>1.1599999999999999</c:v>
                </c:pt>
                <c:pt idx="1">
                  <c:v>1.1499999999999999</c:v>
                </c:pt>
                <c:pt idx="2">
                  <c:v>0.97</c:v>
                </c:pt>
                <c:pt idx="3">
                  <c:v>1.1499999999999999</c:v>
                </c:pt>
                <c:pt idx="4">
                  <c:v>1.1299999999999999</c:v>
                </c:pt>
                <c:pt idx="5">
                  <c:v>1.05</c:v>
                </c:pt>
                <c:pt idx="6">
                  <c:v>1.37</c:v>
                </c:pt>
                <c:pt idx="7">
                  <c:v>1.1299999999999999</c:v>
                </c:pt>
                <c:pt idx="8">
                  <c:v>1.43</c:v>
                </c:pt>
                <c:pt idx="9">
                  <c:v>1.08</c:v>
                </c:pt>
                <c:pt idx="10">
                  <c:v>1.22</c:v>
                </c:pt>
                <c:pt idx="11">
                  <c:v>1.18</c:v>
                </c:pt>
                <c:pt idx="12">
                  <c:v>1.26</c:v>
                </c:pt>
                <c:pt idx="13">
                  <c:v>1.35</c:v>
                </c:pt>
                <c:pt idx="14">
                  <c:v>1.29</c:v>
                </c:pt>
                <c:pt idx="15">
                  <c:v>1.33</c:v>
                </c:pt>
                <c:pt idx="16">
                  <c:v>1.27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B2-40AC-BF6E-A9FEECABB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1595728"/>
        <c:axId val="911598680"/>
      </c:barChart>
      <c:catAx>
        <c:axId val="911595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11598680"/>
        <c:crosses val="autoZero"/>
        <c:auto val="1"/>
        <c:lblAlgn val="ctr"/>
        <c:lblOffset val="100"/>
        <c:noMultiLvlLbl val="0"/>
      </c:catAx>
      <c:valAx>
        <c:axId val="911598680"/>
        <c:scaling>
          <c:orientation val="minMax"/>
        </c:scaling>
        <c:delete val="1"/>
        <c:axPos val="l"/>
        <c:numFmt formatCode="_(* #,##0.00_);_(* \(#,##0.00\);_(* &quot;-&quot;??_);_(@_)" sourceLinked="1"/>
        <c:majorTickMark val="none"/>
        <c:minorTickMark val="none"/>
        <c:tickLblPos val="nextTo"/>
        <c:crossAx val="911595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[CARTEIRA V1 - Copia.xlsm]TAB DIN CONSOLIDADO!Tabela dinâmica12</c:name>
    <c:fmtId val="4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/>
          </a:solidFill>
          <a:ln w="1270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>
              <a:tint val="50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>
              <a:tint val="70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>
              <a:tint val="90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>
              <a:shade val="90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>
              <a:shade val="70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14"/>
        <c:spPr>
          <a:solidFill>
            <a:schemeClr val="accent1">
              <a:shade val="50000"/>
            </a:schemeClr>
          </a:solidFill>
          <a:ln w="1270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19591637252240021"/>
          <c:y val="5.520133996408344E-2"/>
          <c:w val="0.68868608018825217"/>
          <c:h val="0.94479875790487378"/>
        </c:manualLayout>
      </c:layout>
      <c:pieChart>
        <c:varyColors val="1"/>
        <c:ser>
          <c:idx val="0"/>
          <c:order val="0"/>
          <c:tx>
            <c:strRef>
              <c:f>'TAB DIN CONSOLIDADO'!$L$3</c:f>
              <c:strCache>
                <c:ptCount val="1"/>
                <c:pt idx="0">
                  <c:v>Total</c:v>
                </c:pt>
              </c:strCache>
            </c:strRef>
          </c:tx>
          <c:spPr>
            <a:ln w="12700"/>
          </c:spPr>
          <c:dPt>
            <c:idx val="0"/>
            <c:bubble3D val="0"/>
            <c:spPr>
              <a:solidFill>
                <a:schemeClr val="accent1">
                  <a:tint val="50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C7B-41B7-BCBF-72A40DB006C5}"/>
              </c:ext>
            </c:extLst>
          </c:dPt>
          <c:dPt>
            <c:idx val="1"/>
            <c:bubble3D val="0"/>
            <c:spPr>
              <a:solidFill>
                <a:schemeClr val="accent1">
                  <a:tint val="70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C7B-41B7-BCBF-72A40DB006C5}"/>
              </c:ext>
            </c:extLst>
          </c:dPt>
          <c:dPt>
            <c:idx val="2"/>
            <c:bubble3D val="0"/>
            <c:spPr>
              <a:solidFill>
                <a:schemeClr val="accent1">
                  <a:tint val="90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C7B-41B7-BCBF-72A40DB006C5}"/>
              </c:ext>
            </c:extLst>
          </c:dPt>
          <c:dPt>
            <c:idx val="3"/>
            <c:bubble3D val="0"/>
            <c:spPr>
              <a:solidFill>
                <a:schemeClr val="accent1">
                  <a:shade val="90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C7B-41B7-BCBF-72A40DB006C5}"/>
              </c:ext>
            </c:extLst>
          </c:dPt>
          <c:dPt>
            <c:idx val="4"/>
            <c:bubble3D val="0"/>
            <c:spPr>
              <a:solidFill>
                <a:schemeClr val="accent1">
                  <a:shade val="70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C7B-41B7-BCBF-72A40DB006C5}"/>
              </c:ext>
            </c:extLst>
          </c:dPt>
          <c:dPt>
            <c:idx val="5"/>
            <c:bubble3D val="0"/>
            <c:spPr>
              <a:solidFill>
                <a:schemeClr val="accent1">
                  <a:shade val="50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1C7B-41B7-BCBF-72A40DB006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 DIN CONSOLIDADO'!$K$4:$K$10</c:f>
              <c:strCache>
                <c:ptCount val="6"/>
                <c:pt idx="0">
                  <c:v>HÍBRIDO</c:v>
                </c:pt>
                <c:pt idx="1">
                  <c:v>LAJES CORPORATIVAS</c:v>
                </c:pt>
                <c:pt idx="2">
                  <c:v>LOGÍSTICA</c:v>
                </c:pt>
                <c:pt idx="3">
                  <c:v>TÍTULOS E VALORES IMOBILIÁRIOS</c:v>
                </c:pt>
                <c:pt idx="4">
                  <c:v>SHOPPING</c:v>
                </c:pt>
                <c:pt idx="5">
                  <c:v>FUNDO DE FUNDO</c:v>
                </c:pt>
              </c:strCache>
            </c:strRef>
          </c:cat>
          <c:val>
            <c:numRef>
              <c:f>'TAB DIN CONSOLIDADO'!$L$4:$L$10</c:f>
              <c:numCache>
                <c:formatCode>General</c:formatCode>
                <c:ptCount val="6"/>
                <c:pt idx="0">
                  <c:v>7688.4</c:v>
                </c:pt>
                <c:pt idx="1">
                  <c:v>13743.400000000001</c:v>
                </c:pt>
                <c:pt idx="2">
                  <c:v>19774.59</c:v>
                </c:pt>
                <c:pt idx="3">
                  <c:v>8540.9499999999989</c:v>
                </c:pt>
                <c:pt idx="4">
                  <c:v>2278.3200000000002</c:v>
                </c:pt>
                <c:pt idx="5">
                  <c:v>3870.7200000000003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C7B-41B7-BCBF-72A40DB006C5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3"/>
    </mc:Choice>
    <mc:Fallback>
      <c:style val="3"/>
    </mc:Fallback>
  </mc:AlternateContent>
  <c:pivotSource>
    <c:name>[CARTEIRA V1 - Copia.xlsm]TAB DIN CONSOLIDADO!Tabela dinâmica13</c:name>
    <c:fmtId val="6"/>
  </c:pivotSource>
  <c:chart>
    <c:autoTitleDeleted val="1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270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>
              <a:tint val="65000"/>
            </a:schemeClr>
          </a:solidFill>
          <a:ln w="1270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2700">
            <a:solidFill>
              <a:schemeClr val="lt1"/>
            </a:solidFill>
          </a:ln>
          <a:effectLst/>
        </c:spPr>
      </c:pivotFmt>
      <c:pivotFmt>
        <c:idx val="8"/>
        <c:spPr>
          <a:solidFill>
            <a:schemeClr val="accent1">
              <a:shade val="65000"/>
            </a:schemeClr>
          </a:solidFill>
          <a:ln w="12700">
            <a:solidFill>
              <a:schemeClr val="lt1"/>
            </a:solidFill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0.20675093244923329"/>
          <c:y val="1.2479803660906024E-2"/>
          <c:w val="0.79029625075203136"/>
          <c:h val="1"/>
        </c:manualLayout>
      </c:layout>
      <c:pieChart>
        <c:varyColors val="1"/>
        <c:ser>
          <c:idx val="0"/>
          <c:order val="0"/>
          <c:tx>
            <c:strRef>
              <c:f>'TAB DIN CONSOLIDADO'!$O$3</c:f>
              <c:strCache>
                <c:ptCount val="1"/>
                <c:pt idx="0">
                  <c:v>Total</c:v>
                </c:pt>
              </c:strCache>
            </c:strRef>
          </c:tx>
          <c:spPr>
            <a:ln w="12700"/>
          </c:spPr>
          <c:dPt>
            <c:idx val="0"/>
            <c:bubble3D val="0"/>
            <c:spPr>
              <a:solidFill>
                <a:schemeClr val="accent1">
                  <a:tint val="65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C82-4C14-86D4-E0DBAA525026}"/>
              </c:ext>
            </c:extLst>
          </c:dPt>
          <c:dPt>
            <c:idx val="1"/>
            <c:bubble3D val="0"/>
            <c:spPr>
              <a:solidFill>
                <a:schemeClr val="accent1"/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C82-4C14-86D4-E0DBAA525026}"/>
              </c:ext>
            </c:extLst>
          </c:dPt>
          <c:dPt>
            <c:idx val="2"/>
            <c:bubble3D val="0"/>
            <c:spPr>
              <a:solidFill>
                <a:schemeClr val="accent1">
                  <a:shade val="65000"/>
                </a:schemeClr>
              </a:solidFill>
              <a:ln w="1270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C82-4C14-86D4-E0DBAA52502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'TAB DIN CONSOLIDADO'!$N$4:$N$7</c:f>
              <c:strCache>
                <c:ptCount val="3"/>
                <c:pt idx="0">
                  <c:v>ENERGIA ELÉTRICA</c:v>
                </c:pt>
                <c:pt idx="1">
                  <c:v>FINANCEIRO</c:v>
                </c:pt>
                <c:pt idx="2">
                  <c:v>SANEAMENTO</c:v>
                </c:pt>
              </c:strCache>
            </c:strRef>
          </c:cat>
          <c:val>
            <c:numRef>
              <c:f>'TAB DIN CONSOLIDADO'!$O$4:$O$7</c:f>
              <c:numCache>
                <c:formatCode>General</c:formatCode>
                <c:ptCount val="3"/>
                <c:pt idx="0">
                  <c:v>8810.99</c:v>
                </c:pt>
                <c:pt idx="1">
                  <c:v>11876.45</c:v>
                </c:pt>
                <c:pt idx="2">
                  <c:v>2656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C82-4C14-86D4-E0DBAA525026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3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colors7.xml><?xml version="1.0" encoding="utf-8"?>
<cs:colorStyle xmlns:cs="http://schemas.microsoft.com/office/drawing/2012/chartStyle" xmlns:a="http://schemas.openxmlformats.org/drawingml/2006/main" meth="withinLinearReversed" id="21">
  <a:schemeClr val="accent1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chart" Target="../charts/chart5.xml"/><Relationship Id="rId3" Type="http://schemas.openxmlformats.org/officeDocument/2006/relationships/image" Target="../media/image2.svg"/><Relationship Id="rId7" Type="http://schemas.openxmlformats.org/officeDocument/2006/relationships/image" Target="../media/image6.svg"/><Relationship Id="rId12" Type="http://schemas.openxmlformats.org/officeDocument/2006/relationships/chart" Target="../charts/chart4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image" Target="../media/image5.png"/><Relationship Id="rId11" Type="http://schemas.openxmlformats.org/officeDocument/2006/relationships/chart" Target="../charts/chart3.xml"/><Relationship Id="rId5" Type="http://schemas.openxmlformats.org/officeDocument/2006/relationships/image" Target="../media/image4.svg"/><Relationship Id="rId15" Type="http://schemas.openxmlformats.org/officeDocument/2006/relationships/chart" Target="../charts/chart7.xml"/><Relationship Id="rId10" Type="http://schemas.openxmlformats.org/officeDocument/2006/relationships/chart" Target="../charts/chart2.xml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64</xdr:row>
      <xdr:rowOff>95250</xdr:rowOff>
    </xdr:from>
    <xdr:to>
      <xdr:col>1</xdr:col>
      <xdr:colOff>190500</xdr:colOff>
      <xdr:row>93</xdr:row>
      <xdr:rowOff>161925</xdr:rowOff>
    </xdr:to>
    <xdr:sp macro="" textlink="">
      <xdr:nvSpPr>
        <xdr:cNvPr id="14" name="Retângulo 13">
          <a:extLst>
            <a:ext uri="{FF2B5EF4-FFF2-40B4-BE49-F238E27FC236}">
              <a16:creationId xmlns:a16="http://schemas.microsoft.com/office/drawing/2014/main" id="{1C7FDEFC-1DAB-4CCD-A328-920690967DF0}"/>
            </a:ext>
          </a:extLst>
        </xdr:cNvPr>
        <xdr:cNvSpPr/>
      </xdr:nvSpPr>
      <xdr:spPr>
        <a:xfrm>
          <a:off x="28575" y="8667750"/>
          <a:ext cx="247650" cy="4419600"/>
        </a:xfrm>
        <a:prstGeom prst="rect">
          <a:avLst/>
        </a:prstGeom>
        <a:solidFill>
          <a:srgbClr val="0070C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161925</xdr:colOff>
      <xdr:row>31</xdr:row>
      <xdr:rowOff>66675</xdr:rowOff>
    </xdr:from>
    <xdr:to>
      <xdr:col>16</xdr:col>
      <xdr:colOff>533400</xdr:colOff>
      <xdr:row>57</xdr:row>
      <xdr:rowOff>171450</xdr:rowOff>
    </xdr:to>
    <xdr:sp macro="" textlink="">
      <xdr:nvSpPr>
        <xdr:cNvPr id="116" name="Retângulo: Cantos Arredondados 115">
          <a:extLst>
            <a:ext uri="{FF2B5EF4-FFF2-40B4-BE49-F238E27FC236}">
              <a16:creationId xmlns:a16="http://schemas.microsoft.com/office/drawing/2014/main" id="{7D878584-6500-4BBC-B40D-DFCDF8493BA1}"/>
            </a:ext>
          </a:extLst>
        </xdr:cNvPr>
        <xdr:cNvSpPr/>
      </xdr:nvSpPr>
      <xdr:spPr>
        <a:xfrm>
          <a:off x="247650" y="5972175"/>
          <a:ext cx="10734675" cy="5057775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82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 R$ 213.133 </a:t>
          </a:r>
        </a:p>
      </xdr:txBody>
    </xdr:sp>
    <xdr:clientData/>
  </xdr:twoCellAnchor>
  <xdr:twoCellAnchor>
    <xdr:from>
      <xdr:col>1</xdr:col>
      <xdr:colOff>76200</xdr:colOff>
      <xdr:row>143</xdr:row>
      <xdr:rowOff>123825</xdr:rowOff>
    </xdr:from>
    <xdr:to>
      <xdr:col>17</xdr:col>
      <xdr:colOff>123826</xdr:colOff>
      <xdr:row>167</xdr:row>
      <xdr:rowOff>9525</xdr:rowOff>
    </xdr:to>
    <xdr:sp macro="" textlink="">
      <xdr:nvSpPr>
        <xdr:cNvPr id="86" name="Retângulo: Cantos Arredondados 85">
          <a:extLst>
            <a:ext uri="{FF2B5EF4-FFF2-40B4-BE49-F238E27FC236}">
              <a16:creationId xmlns:a16="http://schemas.microsoft.com/office/drawing/2014/main" id="{7C47A4AD-70BB-46F5-87B6-A090E8C54B1F}"/>
            </a:ext>
          </a:extLst>
        </xdr:cNvPr>
        <xdr:cNvSpPr/>
      </xdr:nvSpPr>
      <xdr:spPr>
        <a:xfrm>
          <a:off x="161925" y="22574250"/>
          <a:ext cx="11020426" cy="44577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82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 R$ 213.133 </a:t>
          </a:r>
        </a:p>
      </xdr:txBody>
    </xdr:sp>
    <xdr:clientData/>
  </xdr:twoCellAnchor>
  <xdr:twoCellAnchor>
    <xdr:from>
      <xdr:col>1</xdr:col>
      <xdr:colOff>104774</xdr:colOff>
      <xdr:row>118</xdr:row>
      <xdr:rowOff>123825</xdr:rowOff>
    </xdr:from>
    <xdr:to>
      <xdr:col>17</xdr:col>
      <xdr:colOff>85725</xdr:colOff>
      <xdr:row>142</xdr:row>
      <xdr:rowOff>9525</xdr:rowOff>
    </xdr:to>
    <xdr:sp macro="" textlink="">
      <xdr:nvSpPr>
        <xdr:cNvPr id="77" name="Retângulo: Cantos Arredondados 76">
          <a:extLst>
            <a:ext uri="{FF2B5EF4-FFF2-40B4-BE49-F238E27FC236}">
              <a16:creationId xmlns:a16="http://schemas.microsoft.com/office/drawing/2014/main" id="{B1EC1DD7-E5E8-42E2-86C7-448CF6DA40C8}"/>
            </a:ext>
          </a:extLst>
        </xdr:cNvPr>
        <xdr:cNvSpPr/>
      </xdr:nvSpPr>
      <xdr:spPr>
        <a:xfrm>
          <a:off x="190499" y="17811750"/>
          <a:ext cx="10953751" cy="445770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82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 R$ 213.133 </a:t>
          </a:r>
        </a:p>
      </xdr:txBody>
    </xdr:sp>
    <xdr:clientData/>
  </xdr:twoCellAnchor>
  <xdr:twoCellAnchor>
    <xdr:from>
      <xdr:col>1</xdr:col>
      <xdr:colOff>95250</xdr:colOff>
      <xdr:row>94</xdr:row>
      <xdr:rowOff>19049</xdr:rowOff>
    </xdr:from>
    <xdr:to>
      <xdr:col>17</xdr:col>
      <xdr:colOff>47626</xdr:colOff>
      <xdr:row>117</xdr:row>
      <xdr:rowOff>161924</xdr:rowOff>
    </xdr:to>
    <xdr:sp macro="" textlink="">
      <xdr:nvSpPr>
        <xdr:cNvPr id="74" name="Retângulo: Cantos Arredondados 73">
          <a:extLst>
            <a:ext uri="{FF2B5EF4-FFF2-40B4-BE49-F238E27FC236}">
              <a16:creationId xmlns:a16="http://schemas.microsoft.com/office/drawing/2014/main" id="{F7CFD262-1105-4944-A404-84C6C3D421C7}"/>
            </a:ext>
          </a:extLst>
        </xdr:cNvPr>
        <xdr:cNvSpPr/>
      </xdr:nvSpPr>
      <xdr:spPr>
        <a:xfrm>
          <a:off x="180975" y="13134974"/>
          <a:ext cx="10925176" cy="4524375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82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 R$ 213.133 </a:t>
          </a:r>
        </a:p>
      </xdr:txBody>
    </xdr:sp>
    <xdr:clientData/>
  </xdr:twoCellAnchor>
  <xdr:twoCellAnchor>
    <xdr:from>
      <xdr:col>1</xdr:col>
      <xdr:colOff>142876</xdr:colOff>
      <xdr:row>7</xdr:row>
      <xdr:rowOff>47625</xdr:rowOff>
    </xdr:from>
    <xdr:to>
      <xdr:col>16</xdr:col>
      <xdr:colOff>514350</xdr:colOff>
      <xdr:row>29</xdr:row>
      <xdr:rowOff>66675</xdr:rowOff>
    </xdr:to>
    <xdr:sp macro="" textlink="">
      <xdr:nvSpPr>
        <xdr:cNvPr id="53" name="Retângulo: Cantos Arredondados 52">
          <a:extLst>
            <a:ext uri="{FF2B5EF4-FFF2-40B4-BE49-F238E27FC236}">
              <a16:creationId xmlns:a16="http://schemas.microsoft.com/office/drawing/2014/main" id="{321718F7-CE1E-4D87-B9AB-6C957674250F}"/>
            </a:ext>
          </a:extLst>
        </xdr:cNvPr>
        <xdr:cNvSpPr/>
      </xdr:nvSpPr>
      <xdr:spPr>
        <a:xfrm>
          <a:off x="228601" y="1381125"/>
          <a:ext cx="10734674" cy="4210050"/>
        </a:xfrm>
        <a:prstGeom prst="roundRect">
          <a:avLst>
            <a:gd name="adj" fmla="val 0"/>
          </a:avLst>
        </a:prstGeom>
        <a:solidFill>
          <a:schemeClr val="bg1"/>
        </a:solidFill>
        <a:ln>
          <a:noFill/>
        </a:ln>
        <a:effectLst>
          <a:outerShdw blurRad="50800" dist="38100" dir="2700000" algn="tl" rotWithShape="0">
            <a:prstClr val="black">
              <a:alpha val="82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/>
            <a:t> R$ 213.133 </a:t>
          </a:r>
        </a:p>
      </xdr:txBody>
    </xdr:sp>
    <xdr:clientData/>
  </xdr:twoCellAnchor>
  <xdr:twoCellAnchor editAs="oneCell">
    <xdr:from>
      <xdr:col>3</xdr:col>
      <xdr:colOff>219075</xdr:colOff>
      <xdr:row>119</xdr:row>
      <xdr:rowOff>142875</xdr:rowOff>
    </xdr:from>
    <xdr:to>
      <xdr:col>4</xdr:col>
      <xdr:colOff>381000</xdr:colOff>
      <xdr:row>126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TIPO">
              <a:extLst>
                <a:ext uri="{FF2B5EF4-FFF2-40B4-BE49-F238E27FC236}">
                  <a16:creationId xmlns:a16="http://schemas.microsoft.com/office/drawing/2014/main" id="{442BBB3A-9CD7-40CF-8BBA-2D804DC8222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81150" y="18021300"/>
              <a:ext cx="1133475" cy="12668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200024</xdr:colOff>
      <xdr:row>126</xdr:row>
      <xdr:rowOff>104775</xdr:rowOff>
    </xdr:from>
    <xdr:to>
      <xdr:col>4</xdr:col>
      <xdr:colOff>381000</xdr:colOff>
      <xdr:row>139</xdr:row>
      <xdr:rowOff>123824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MÊS">
              <a:extLst>
                <a:ext uri="{FF2B5EF4-FFF2-40B4-BE49-F238E27FC236}">
                  <a16:creationId xmlns:a16="http://schemas.microsoft.com/office/drawing/2014/main" id="{9F42FC99-38B5-4778-8A73-69C3AF6E095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5749" y="19316700"/>
              <a:ext cx="2428876" cy="249554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190500</xdr:colOff>
      <xdr:row>119</xdr:row>
      <xdr:rowOff>142876</xdr:rowOff>
    </xdr:from>
    <xdr:to>
      <xdr:col>3</xdr:col>
      <xdr:colOff>171450</xdr:colOff>
      <xdr:row>126</xdr:row>
      <xdr:rowOff>66676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NO">
              <a:extLst>
                <a:ext uri="{FF2B5EF4-FFF2-40B4-BE49-F238E27FC236}">
                  <a16:creationId xmlns:a16="http://schemas.microsoft.com/office/drawing/2014/main" id="{954C95DC-410B-425C-B136-11AC2E9A552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76225" y="18021301"/>
              <a:ext cx="1257300" cy="12573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381000</xdr:colOff>
      <xdr:row>121</xdr:row>
      <xdr:rowOff>123824</xdr:rowOff>
    </xdr:from>
    <xdr:to>
      <xdr:col>16</xdr:col>
      <xdr:colOff>542925</xdr:colOff>
      <xdr:row>141</xdr:row>
      <xdr:rowOff>133350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5F96AEFC-76D8-4517-AC4D-1373A4AF68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190499</xdr:colOff>
      <xdr:row>32</xdr:row>
      <xdr:rowOff>19049</xdr:rowOff>
    </xdr:from>
    <xdr:to>
      <xdr:col>2</xdr:col>
      <xdr:colOff>200024</xdr:colOff>
      <xdr:row>35</xdr:row>
      <xdr:rowOff>142874</xdr:rowOff>
    </xdr:to>
    <xdr:pic>
      <xdr:nvPicPr>
        <xdr:cNvPr id="28" name="Gráfico 27" descr="Gráfico de barras com tendência ascendente com preenchimento sólido">
          <a:extLst>
            <a:ext uri="{FF2B5EF4-FFF2-40B4-BE49-F238E27FC236}">
              <a16:creationId xmlns:a16="http://schemas.microsoft.com/office/drawing/2014/main" id="{DE4D6CE3-5982-4715-B7E2-58AC1170BAB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90499" y="5162549"/>
          <a:ext cx="695325" cy="695325"/>
        </a:xfrm>
        <a:prstGeom prst="rect">
          <a:avLst/>
        </a:prstGeom>
      </xdr:spPr>
    </xdr:pic>
    <xdr:clientData/>
  </xdr:twoCellAnchor>
  <xdr:twoCellAnchor>
    <xdr:from>
      <xdr:col>1</xdr:col>
      <xdr:colOff>142874</xdr:colOff>
      <xdr:row>1</xdr:row>
      <xdr:rowOff>9525</xdr:rowOff>
    </xdr:from>
    <xdr:to>
      <xdr:col>5</xdr:col>
      <xdr:colOff>685800</xdr:colOff>
      <xdr:row>6</xdr:row>
      <xdr:rowOff>0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97B8272B-23A1-45AD-A91D-E0AFF9DBA385}"/>
            </a:ext>
          </a:extLst>
        </xdr:cNvPr>
        <xdr:cNvGrpSpPr/>
      </xdr:nvGrpSpPr>
      <xdr:grpSpPr>
        <a:xfrm>
          <a:off x="228599" y="200025"/>
          <a:ext cx="3762376" cy="942975"/>
          <a:chOff x="142874" y="200025"/>
          <a:chExt cx="3419475" cy="942975"/>
        </a:xfrm>
      </xdr:grpSpPr>
      <xdr:sp macro="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D2526910-F679-4456-B2D9-E1D6DCFF3D15}"/>
              </a:ext>
            </a:extLst>
          </xdr:cNvPr>
          <xdr:cNvSpPr/>
        </xdr:nvSpPr>
        <xdr:spPr>
          <a:xfrm>
            <a:off x="142874" y="200025"/>
            <a:ext cx="3419475" cy="942975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82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/>
              <a:t> R$ 213.133 </a:t>
            </a:r>
          </a:p>
        </xdr:txBody>
      </xdr:sp>
      <xdr:pic>
        <xdr:nvPicPr>
          <xdr:cNvPr id="22" name="Gráfico 21" descr="Filantropia com preenchimento sólido">
            <a:extLst>
              <a:ext uri="{FF2B5EF4-FFF2-40B4-BE49-F238E27FC236}">
                <a16:creationId xmlns:a16="http://schemas.microsoft.com/office/drawing/2014/main" id="{30E5E60C-1787-46D2-B178-72535130B6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55852" y="257100"/>
            <a:ext cx="852713" cy="800175"/>
          </a:xfrm>
          <a:prstGeom prst="rect">
            <a:avLst/>
          </a:prstGeom>
        </xdr:spPr>
      </xdr:pic>
      <xdr:cxnSp macro="">
        <xdr:nvCxnSpPr>
          <xdr:cNvPr id="23" name="Conector reto 22">
            <a:extLst>
              <a:ext uri="{FF2B5EF4-FFF2-40B4-BE49-F238E27FC236}">
                <a16:creationId xmlns:a16="http://schemas.microsoft.com/office/drawing/2014/main" id="{D1501BFE-DEBB-4A82-812B-89F5C8116078}"/>
              </a:ext>
            </a:extLst>
          </xdr:cNvPr>
          <xdr:cNvCxnSpPr/>
        </xdr:nvCxnSpPr>
        <xdr:spPr>
          <a:xfrm>
            <a:off x="1046970" y="333375"/>
            <a:ext cx="0" cy="691243"/>
          </a:xfrm>
          <a:prstGeom prst="line">
            <a:avLst/>
          </a:prstGeom>
          <a:ln w="28575">
            <a:solidFill>
              <a:srgbClr val="0070C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5" name="CaixaDeTexto 24">
            <a:extLst>
              <a:ext uri="{FF2B5EF4-FFF2-40B4-BE49-F238E27FC236}">
                <a16:creationId xmlns:a16="http://schemas.microsoft.com/office/drawing/2014/main" id="{F79AEE31-0F7A-4F4B-830F-26EA62C752FE}"/>
              </a:ext>
            </a:extLst>
          </xdr:cNvPr>
          <xdr:cNvSpPr txBox="1"/>
        </xdr:nvSpPr>
        <xdr:spPr>
          <a:xfrm>
            <a:off x="1101121" y="228601"/>
            <a:ext cx="22574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rgbClr val="002060"/>
                </a:solidFill>
              </a:rPr>
              <a:t>PATRIMONIO</a:t>
            </a:r>
          </a:p>
        </xdr:txBody>
      </xdr:sp>
    </xdr:grpSp>
    <xdr:clientData/>
  </xdr:twoCellAnchor>
  <xdr:twoCellAnchor>
    <xdr:from>
      <xdr:col>6</xdr:col>
      <xdr:colOff>209551</xdr:colOff>
      <xdr:row>1</xdr:row>
      <xdr:rowOff>9525</xdr:rowOff>
    </xdr:from>
    <xdr:to>
      <xdr:col>11</xdr:col>
      <xdr:colOff>228601</xdr:colOff>
      <xdr:row>6</xdr:row>
      <xdr:rowOff>0</xdr:rowOff>
    </xdr:to>
    <xdr:grpSp>
      <xdr:nvGrpSpPr>
        <xdr:cNvPr id="15" name="Agrupar 14">
          <a:extLst>
            <a:ext uri="{FF2B5EF4-FFF2-40B4-BE49-F238E27FC236}">
              <a16:creationId xmlns:a16="http://schemas.microsoft.com/office/drawing/2014/main" id="{4038FB39-2DA6-4FE2-B9B5-CCFAD9FA1B48}"/>
            </a:ext>
          </a:extLst>
        </xdr:cNvPr>
        <xdr:cNvGrpSpPr/>
      </xdr:nvGrpSpPr>
      <xdr:grpSpPr>
        <a:xfrm>
          <a:off x="4210051" y="200025"/>
          <a:ext cx="3333750" cy="942975"/>
          <a:chOff x="3667125" y="200025"/>
          <a:chExt cx="3419475" cy="942975"/>
        </a:xfrm>
      </xdr:grpSpPr>
      <xdr:grpSp>
        <xdr:nvGrpSpPr>
          <xdr:cNvPr id="27" name="Agrupar 26">
            <a:extLst>
              <a:ext uri="{FF2B5EF4-FFF2-40B4-BE49-F238E27FC236}">
                <a16:creationId xmlns:a16="http://schemas.microsoft.com/office/drawing/2014/main" id="{594948D3-CFA5-496C-8923-6590BC85E39C}"/>
              </a:ext>
            </a:extLst>
          </xdr:cNvPr>
          <xdr:cNvGrpSpPr/>
        </xdr:nvGrpSpPr>
        <xdr:grpSpPr>
          <a:xfrm>
            <a:off x="3667125" y="200025"/>
            <a:ext cx="3419475" cy="942975"/>
            <a:chOff x="142874" y="200025"/>
            <a:chExt cx="3419475" cy="942975"/>
          </a:xfrm>
        </xdr:grpSpPr>
        <xdr:sp macro="" textlink="">
          <xdr:nvSpPr>
            <xdr:cNvPr id="29" name="Retângulo: Cantos Arredondados 28">
              <a:extLst>
                <a:ext uri="{FF2B5EF4-FFF2-40B4-BE49-F238E27FC236}">
                  <a16:creationId xmlns:a16="http://schemas.microsoft.com/office/drawing/2014/main" id="{0303FC8F-BDFD-4DC0-921C-6947A4256BDC}"/>
                </a:ext>
              </a:extLst>
            </xdr:cNvPr>
            <xdr:cNvSpPr/>
          </xdr:nvSpPr>
          <xdr:spPr>
            <a:xfrm>
              <a:off x="142874" y="200025"/>
              <a:ext cx="3419475" cy="942975"/>
            </a:xfrm>
            <a:prstGeom prst="roundRect">
              <a:avLst>
                <a:gd name="adj" fmla="val 0"/>
              </a:avLst>
            </a:prstGeom>
            <a:solidFill>
              <a:schemeClr val="bg1"/>
            </a:solidFill>
            <a:ln>
              <a:noFill/>
            </a:ln>
            <a:effectLst>
              <a:outerShdw blurRad="50800" dist="38100" dir="2700000" algn="tl" rotWithShape="0">
                <a:prstClr val="black">
                  <a:alpha val="82000"/>
                </a:prstClr>
              </a:outerShdw>
            </a:effectLst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>
                <a:solidFill>
                  <a:srgbClr val="FF0000"/>
                </a:solidFill>
              </a:endParaRPr>
            </a:p>
          </xdr:txBody>
        </xdr:sp>
        <xdr:cxnSp macro="">
          <xdr:nvCxnSpPr>
            <xdr:cNvPr id="33" name="Conector reto 32">
              <a:extLst>
                <a:ext uri="{FF2B5EF4-FFF2-40B4-BE49-F238E27FC236}">
                  <a16:creationId xmlns:a16="http://schemas.microsoft.com/office/drawing/2014/main" id="{66F85BD3-7151-4DAD-B63C-2D9507CD4E9B}"/>
                </a:ext>
              </a:extLst>
            </xdr:cNvPr>
            <xdr:cNvCxnSpPr/>
          </xdr:nvCxnSpPr>
          <xdr:spPr>
            <a:xfrm>
              <a:off x="1162050" y="333375"/>
              <a:ext cx="0" cy="691243"/>
            </a:xfrm>
            <a:prstGeom prst="line">
              <a:avLst/>
            </a:prstGeom>
            <a:ln w="28575">
              <a:solidFill>
                <a:srgbClr val="0070C0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34" name="CaixaDeTexto 33">
              <a:extLst>
                <a:ext uri="{FF2B5EF4-FFF2-40B4-BE49-F238E27FC236}">
                  <a16:creationId xmlns:a16="http://schemas.microsoft.com/office/drawing/2014/main" id="{EB2FCB20-23FD-4C4B-8742-1B1A78B970C5}"/>
                </a:ext>
              </a:extLst>
            </xdr:cNvPr>
            <xdr:cNvSpPr txBox="1"/>
          </xdr:nvSpPr>
          <xdr:spPr>
            <a:xfrm>
              <a:off x="1257299" y="238126"/>
              <a:ext cx="2257425" cy="28575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r>
                <a:rPr lang="pt-BR" sz="1400" b="1">
                  <a:solidFill>
                    <a:srgbClr val="002060"/>
                  </a:solidFill>
                </a:rPr>
                <a:t>TOTAL INVESTIDO</a:t>
              </a:r>
            </a:p>
          </xdr:txBody>
        </xdr:sp>
      </xdr:grpSp>
      <xdr:pic>
        <xdr:nvPicPr>
          <xdr:cNvPr id="18" name="Gráfico 17" descr="Dinheiro com preenchimento sólido">
            <a:extLst>
              <a:ext uri="{FF2B5EF4-FFF2-40B4-BE49-F238E27FC236}">
                <a16:creationId xmlns:a16="http://schemas.microsoft.com/office/drawing/2014/main" id="{EF383B8B-5051-4174-A444-84CA77C834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3767100" y="242850"/>
            <a:ext cx="804900" cy="804900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447675</xdr:colOff>
      <xdr:row>1</xdr:row>
      <xdr:rowOff>9525</xdr:rowOff>
    </xdr:from>
    <xdr:to>
      <xdr:col>16</xdr:col>
      <xdr:colOff>485775</xdr:colOff>
      <xdr:row>6</xdr:row>
      <xdr:rowOff>0</xdr:rowOff>
    </xdr:to>
    <xdr:grpSp>
      <xdr:nvGrpSpPr>
        <xdr:cNvPr id="36" name="Agrupar 35">
          <a:extLst>
            <a:ext uri="{FF2B5EF4-FFF2-40B4-BE49-F238E27FC236}">
              <a16:creationId xmlns:a16="http://schemas.microsoft.com/office/drawing/2014/main" id="{B7EEAFAF-D286-43C9-967C-DB91DF092E79}"/>
            </a:ext>
          </a:extLst>
        </xdr:cNvPr>
        <xdr:cNvGrpSpPr/>
      </xdr:nvGrpSpPr>
      <xdr:grpSpPr>
        <a:xfrm>
          <a:off x="7762875" y="200025"/>
          <a:ext cx="3171825" cy="942975"/>
          <a:chOff x="142874" y="200025"/>
          <a:chExt cx="3419475" cy="942975"/>
        </a:xfrm>
      </xdr:grpSpPr>
      <xdr:sp macro="" textlink="">
        <xdr:nvSpPr>
          <xdr:cNvPr id="38" name="Retângulo: Cantos Arredondados 37">
            <a:extLst>
              <a:ext uri="{FF2B5EF4-FFF2-40B4-BE49-F238E27FC236}">
                <a16:creationId xmlns:a16="http://schemas.microsoft.com/office/drawing/2014/main" id="{D981EB94-B3CB-471A-A289-0051D5ABD066}"/>
              </a:ext>
            </a:extLst>
          </xdr:cNvPr>
          <xdr:cNvSpPr/>
        </xdr:nvSpPr>
        <xdr:spPr>
          <a:xfrm>
            <a:off x="142874" y="200025"/>
            <a:ext cx="3419475" cy="942975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82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>
              <a:solidFill>
                <a:srgbClr val="FF0000"/>
              </a:solidFill>
            </a:endParaRPr>
          </a:p>
        </xdr:txBody>
      </xdr:sp>
      <xdr:cxnSp macro="">
        <xdr:nvCxnSpPr>
          <xdr:cNvPr id="39" name="Conector reto 38">
            <a:extLst>
              <a:ext uri="{FF2B5EF4-FFF2-40B4-BE49-F238E27FC236}">
                <a16:creationId xmlns:a16="http://schemas.microsoft.com/office/drawing/2014/main" id="{25DA60B5-84DD-4D04-BD16-63384A5F20ED}"/>
              </a:ext>
            </a:extLst>
          </xdr:cNvPr>
          <xdr:cNvCxnSpPr/>
        </xdr:nvCxnSpPr>
        <xdr:spPr>
          <a:xfrm>
            <a:off x="1162050" y="333375"/>
            <a:ext cx="0" cy="691243"/>
          </a:xfrm>
          <a:prstGeom prst="line">
            <a:avLst/>
          </a:prstGeom>
          <a:ln w="28575">
            <a:solidFill>
              <a:srgbClr val="0070C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0" name="CaixaDeTexto 39">
            <a:extLst>
              <a:ext uri="{FF2B5EF4-FFF2-40B4-BE49-F238E27FC236}">
                <a16:creationId xmlns:a16="http://schemas.microsoft.com/office/drawing/2014/main" id="{E4188579-AF0D-4C44-9EB6-806B55B44C09}"/>
              </a:ext>
            </a:extLst>
          </xdr:cNvPr>
          <xdr:cNvSpPr txBox="1"/>
        </xdr:nvSpPr>
        <xdr:spPr>
          <a:xfrm>
            <a:off x="1257299" y="238126"/>
            <a:ext cx="22574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rgbClr val="002060"/>
                </a:solidFill>
              </a:rPr>
              <a:t>VARIAÇÃO</a:t>
            </a:r>
          </a:p>
        </xdr:txBody>
      </xdr:sp>
    </xdr:grpSp>
    <xdr:clientData/>
  </xdr:twoCellAnchor>
  <xdr:twoCellAnchor editAs="oneCell">
    <xdr:from>
      <xdr:col>11</xdr:col>
      <xdr:colOff>490425</xdr:colOff>
      <xdr:row>1</xdr:row>
      <xdr:rowOff>52275</xdr:rowOff>
    </xdr:from>
    <xdr:to>
      <xdr:col>12</xdr:col>
      <xdr:colOff>571500</xdr:colOff>
      <xdr:row>5</xdr:row>
      <xdr:rowOff>66675</xdr:rowOff>
    </xdr:to>
    <xdr:pic>
      <xdr:nvPicPr>
        <xdr:cNvPr id="26" name="Gráfico 25" descr="Pesquisa com preenchimento sólido">
          <a:extLst>
            <a:ext uri="{FF2B5EF4-FFF2-40B4-BE49-F238E27FC236}">
              <a16:creationId xmlns:a16="http://schemas.microsoft.com/office/drawing/2014/main" id="{8657381C-19BD-4387-8E0E-B04C4AEC11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7805625" y="242775"/>
          <a:ext cx="776400" cy="776400"/>
        </a:xfrm>
        <a:prstGeom prst="rect">
          <a:avLst/>
        </a:prstGeom>
      </xdr:spPr>
    </xdr:pic>
    <xdr:clientData/>
  </xdr:twoCellAnchor>
  <xdr:twoCellAnchor>
    <xdr:from>
      <xdr:col>2</xdr:col>
      <xdr:colOff>428625</xdr:colOff>
      <xdr:row>2</xdr:row>
      <xdr:rowOff>114300</xdr:rowOff>
    </xdr:from>
    <xdr:to>
      <xdr:col>5</xdr:col>
      <xdr:colOff>228600</xdr:colOff>
      <xdr:row>5</xdr:row>
      <xdr:rowOff>163287</xdr:rowOff>
    </xdr:to>
    <xdr:sp macro="" textlink="CONSOLIDADO!J4">
      <xdr:nvSpPr>
        <xdr:cNvPr id="41" name="CaixaDeTexto 40">
          <a:extLst>
            <a:ext uri="{FF2B5EF4-FFF2-40B4-BE49-F238E27FC236}">
              <a16:creationId xmlns:a16="http://schemas.microsoft.com/office/drawing/2014/main" id="{FD3A91E1-74B7-4F13-B4C9-644A673CAD22}"/>
            </a:ext>
          </a:extLst>
        </xdr:cNvPr>
        <xdr:cNvSpPr txBox="1"/>
      </xdr:nvSpPr>
      <xdr:spPr>
        <a:xfrm>
          <a:off x="1200150" y="495300"/>
          <a:ext cx="2333625" cy="620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E1EFFCC-0F09-4B45-A47B-1BA57C3F31BE}" type="TxLink">
            <a:rPr lang="en-US" sz="2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cs typeface="Angsana New" panose="020B0502040204020203" pitchFamily="18" charset="-34"/>
            </a:rPr>
            <a:pPr algn="l"/>
            <a:t> R$ 79.240 </a:t>
          </a:fld>
          <a:endParaRPr lang="en-US" sz="3200" b="1">
            <a:solidFill>
              <a:schemeClr val="tx1">
                <a:lumMod val="65000"/>
                <a:lumOff val="35000"/>
              </a:schemeClr>
            </a:solidFill>
            <a:latin typeface="Arial Nova" panose="020B0504020202020204" pitchFamily="34" charset="0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7</xdr:col>
      <xdr:colOff>581026</xdr:colOff>
      <xdr:row>2</xdr:row>
      <xdr:rowOff>114300</xdr:rowOff>
    </xdr:from>
    <xdr:to>
      <xdr:col>11</xdr:col>
      <xdr:colOff>304801</xdr:colOff>
      <xdr:row>5</xdr:row>
      <xdr:rowOff>163287</xdr:rowOff>
    </xdr:to>
    <xdr:sp macro="" textlink="CONSOLIDADO!I4">
      <xdr:nvSpPr>
        <xdr:cNvPr id="42" name="CaixaDeTexto 41">
          <a:extLst>
            <a:ext uri="{FF2B5EF4-FFF2-40B4-BE49-F238E27FC236}">
              <a16:creationId xmlns:a16="http://schemas.microsoft.com/office/drawing/2014/main" id="{5F9D0CBE-FE57-4FFC-AE90-1E6068ADA94C}"/>
            </a:ext>
          </a:extLst>
        </xdr:cNvPr>
        <xdr:cNvSpPr txBox="1"/>
      </xdr:nvSpPr>
      <xdr:spPr>
        <a:xfrm>
          <a:off x="5181601" y="495300"/>
          <a:ext cx="2438400" cy="620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00458D1-5E04-492A-9BAA-F5C177A3F7A4}" type="TxLink">
            <a:rPr lang="en-US" sz="2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cs typeface="Arial"/>
            </a:rPr>
            <a:pPr algn="l"/>
            <a:t> R$ 80.133 </a:t>
          </a:fld>
          <a:endParaRPr lang="en-US" sz="7200" b="1">
            <a:solidFill>
              <a:schemeClr val="tx1">
                <a:lumMod val="65000"/>
                <a:lumOff val="35000"/>
              </a:schemeClr>
            </a:solidFill>
            <a:latin typeface="Arial Nova" panose="020B0504020202020204" pitchFamily="34" charset="0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13</xdr:col>
      <xdr:colOff>209550</xdr:colOff>
      <xdr:row>2</xdr:row>
      <xdr:rowOff>104775</xdr:rowOff>
    </xdr:from>
    <xdr:to>
      <xdr:col>17</xdr:col>
      <xdr:colOff>190500</xdr:colOff>
      <xdr:row>5</xdr:row>
      <xdr:rowOff>153762</xdr:rowOff>
    </xdr:to>
    <xdr:sp macro="" textlink="CONSOLIDADO!L4">
      <xdr:nvSpPr>
        <xdr:cNvPr id="43" name="CaixaDeTexto 42">
          <a:extLst>
            <a:ext uri="{FF2B5EF4-FFF2-40B4-BE49-F238E27FC236}">
              <a16:creationId xmlns:a16="http://schemas.microsoft.com/office/drawing/2014/main" id="{03E9F848-8833-45BA-868B-23C38D63B6FB}"/>
            </a:ext>
          </a:extLst>
        </xdr:cNvPr>
        <xdr:cNvSpPr txBox="1"/>
      </xdr:nvSpPr>
      <xdr:spPr>
        <a:xfrm>
          <a:off x="8829675" y="485775"/>
          <a:ext cx="2419350" cy="620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3B1DFF-FFF1-4B06-A911-DD212411E875}" type="TxLink">
            <a:rPr lang="en-US" sz="2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Arial Nova" panose="020B0504020202020204" pitchFamily="34" charset="0"/>
              <a:cs typeface="Arial"/>
            </a:rPr>
            <a:pPr algn="l"/>
            <a:t>-1,11%</a:t>
          </a:fld>
          <a:endParaRPr lang="en-US" sz="23900" b="1">
            <a:solidFill>
              <a:schemeClr val="tx1">
                <a:lumMod val="65000"/>
                <a:lumOff val="35000"/>
              </a:schemeClr>
            </a:solidFill>
            <a:latin typeface="Arial Nova" panose="020B0504020202020204" pitchFamily="34" charset="0"/>
            <a:cs typeface="Angsana New" panose="020B0502040204020203" pitchFamily="18" charset="-34"/>
          </a:endParaRPr>
        </a:p>
      </xdr:txBody>
    </xdr:sp>
    <xdr:clientData/>
  </xdr:twoCellAnchor>
  <xdr:twoCellAnchor>
    <xdr:from>
      <xdr:col>3</xdr:col>
      <xdr:colOff>266698</xdr:colOff>
      <xdr:row>8</xdr:row>
      <xdr:rowOff>57150</xdr:rowOff>
    </xdr:from>
    <xdr:to>
      <xdr:col>10</xdr:col>
      <xdr:colOff>704850</xdr:colOff>
      <xdr:row>27</xdr:row>
      <xdr:rowOff>123825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0269A62E-09DF-4AA3-8BB5-8A5F770A6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</xdr:col>
      <xdr:colOff>485775</xdr:colOff>
      <xdr:row>33</xdr:row>
      <xdr:rowOff>123825</xdr:rowOff>
    </xdr:from>
    <xdr:to>
      <xdr:col>10</xdr:col>
      <xdr:colOff>238125</xdr:colOff>
      <xdr:row>54</xdr:row>
      <xdr:rowOff>123825</xdr:rowOff>
    </xdr:to>
    <xdr:graphicFrame macro="">
      <xdr:nvGraphicFramePr>
        <xdr:cNvPr id="52" name="Gráfico 51">
          <a:extLst>
            <a:ext uri="{FF2B5EF4-FFF2-40B4-BE49-F238E27FC236}">
              <a16:creationId xmlns:a16="http://schemas.microsoft.com/office/drawing/2014/main" id="{0AEE8FF5-C5FD-4831-A563-4DF6689AEC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238125</xdr:colOff>
      <xdr:row>49</xdr:row>
      <xdr:rowOff>9525</xdr:rowOff>
    </xdr:from>
    <xdr:to>
      <xdr:col>3</xdr:col>
      <xdr:colOff>285750</xdr:colOff>
      <xdr:row>52</xdr:row>
      <xdr:rowOff>57150</xdr:rowOff>
    </xdr:to>
    <xdr:sp macro="" textlink="'TAB DIN CONSOLIDADO'!C4">
      <xdr:nvSpPr>
        <xdr:cNvPr id="54" name="Retângulo 53">
          <a:extLst>
            <a:ext uri="{FF2B5EF4-FFF2-40B4-BE49-F238E27FC236}">
              <a16:creationId xmlns:a16="http://schemas.microsoft.com/office/drawing/2014/main" id="{1C0F8A1E-2545-4DEF-A954-8237460004A8}"/>
            </a:ext>
          </a:extLst>
        </xdr:cNvPr>
        <xdr:cNvSpPr/>
      </xdr:nvSpPr>
      <xdr:spPr>
        <a:xfrm>
          <a:off x="323850" y="9344025"/>
          <a:ext cx="132397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D3F7A0E4-787F-4651-8237-5F11046C8565}" type="TxLink">
            <a:rPr lang="en-US" sz="4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29%</a:t>
          </a:fld>
          <a:endParaRPr lang="en-US" sz="4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</xdr:col>
      <xdr:colOff>123825</xdr:colOff>
      <xdr:row>17</xdr:row>
      <xdr:rowOff>133350</xdr:rowOff>
    </xdr:from>
    <xdr:to>
      <xdr:col>3</xdr:col>
      <xdr:colOff>171450</xdr:colOff>
      <xdr:row>20</xdr:row>
      <xdr:rowOff>180975</xdr:rowOff>
    </xdr:to>
    <xdr:sp macro="" textlink="'TAB DIN CONSOLIDADO'!C5">
      <xdr:nvSpPr>
        <xdr:cNvPr id="56" name="Retângulo 55">
          <a:extLst>
            <a:ext uri="{FF2B5EF4-FFF2-40B4-BE49-F238E27FC236}">
              <a16:creationId xmlns:a16="http://schemas.microsoft.com/office/drawing/2014/main" id="{72424CDF-2532-40D3-A69D-0D621D9E3458}"/>
            </a:ext>
          </a:extLst>
        </xdr:cNvPr>
        <xdr:cNvSpPr/>
      </xdr:nvSpPr>
      <xdr:spPr>
        <a:xfrm>
          <a:off x="123825" y="3371850"/>
          <a:ext cx="143827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70DD5E27-961A-44C4-8669-2A22BB410BB5}" type="TxLink">
            <a:rPr lang="en-US" sz="4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71%</a:t>
          </a:fld>
          <a:endParaRPr lang="en-US" sz="123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2</xdr:col>
      <xdr:colOff>533400</xdr:colOff>
      <xdr:row>8</xdr:row>
      <xdr:rowOff>9525</xdr:rowOff>
    </xdr:from>
    <xdr:to>
      <xdr:col>2</xdr:col>
      <xdr:colOff>533400</xdr:colOff>
      <xdr:row>11</xdr:row>
      <xdr:rowOff>129268</xdr:rowOff>
    </xdr:to>
    <xdr:cxnSp macro="">
      <xdr:nvCxnSpPr>
        <xdr:cNvPr id="57" name="Conector reto 56">
          <a:extLst>
            <a:ext uri="{FF2B5EF4-FFF2-40B4-BE49-F238E27FC236}">
              <a16:creationId xmlns:a16="http://schemas.microsoft.com/office/drawing/2014/main" id="{AE4027DE-C262-460F-98CB-F87CCB3C6D40}"/>
            </a:ext>
          </a:extLst>
        </xdr:cNvPr>
        <xdr:cNvCxnSpPr/>
      </xdr:nvCxnSpPr>
      <xdr:spPr>
        <a:xfrm>
          <a:off x="1219200" y="1533525"/>
          <a:ext cx="0" cy="69124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590550</xdr:colOff>
      <xdr:row>7</xdr:row>
      <xdr:rowOff>171450</xdr:rowOff>
    </xdr:from>
    <xdr:to>
      <xdr:col>6</xdr:col>
      <xdr:colOff>158397</xdr:colOff>
      <xdr:row>9</xdr:row>
      <xdr:rowOff>76200</xdr:rowOff>
    </xdr:to>
    <xdr:sp macro="" textlink="">
      <xdr:nvSpPr>
        <xdr:cNvPr id="58" name="CaixaDeTexto 57">
          <a:extLst>
            <a:ext uri="{FF2B5EF4-FFF2-40B4-BE49-F238E27FC236}">
              <a16:creationId xmlns:a16="http://schemas.microsoft.com/office/drawing/2014/main" id="{A8E0D5ED-A847-41E6-B1AB-05669735EF9D}"/>
            </a:ext>
          </a:extLst>
        </xdr:cNvPr>
        <xdr:cNvSpPr txBox="1"/>
      </xdr:nvSpPr>
      <xdr:spPr>
        <a:xfrm>
          <a:off x="1276350" y="1504950"/>
          <a:ext cx="2615847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400" b="1">
              <a:solidFill>
                <a:srgbClr val="002060"/>
              </a:solidFill>
            </a:rPr>
            <a:t>DISTRIBUIÇÃO FIIS</a:t>
          </a:r>
        </a:p>
      </xdr:txBody>
    </xdr:sp>
    <xdr:clientData/>
  </xdr:twoCellAnchor>
  <xdr:twoCellAnchor editAs="oneCell">
    <xdr:from>
      <xdr:col>1</xdr:col>
      <xdr:colOff>285750</xdr:colOff>
      <xdr:row>7</xdr:row>
      <xdr:rowOff>190499</xdr:rowOff>
    </xdr:from>
    <xdr:to>
      <xdr:col>2</xdr:col>
      <xdr:colOff>295275</xdr:colOff>
      <xdr:row>11</xdr:row>
      <xdr:rowOff>123824</xdr:rowOff>
    </xdr:to>
    <xdr:pic>
      <xdr:nvPicPr>
        <xdr:cNvPr id="62" name="Gráfico 61" descr="Gráfico de barras com tendência ascendente com preenchimento sólido">
          <a:extLst>
            <a:ext uri="{FF2B5EF4-FFF2-40B4-BE49-F238E27FC236}">
              <a16:creationId xmlns:a16="http://schemas.microsoft.com/office/drawing/2014/main" id="{D07D239B-B9CE-4541-8C54-959558CF3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85750" y="1523999"/>
          <a:ext cx="695325" cy="695325"/>
        </a:xfrm>
        <a:prstGeom prst="rect">
          <a:avLst/>
        </a:prstGeom>
      </xdr:spPr>
    </xdr:pic>
    <xdr:clientData/>
  </xdr:twoCellAnchor>
  <xdr:twoCellAnchor>
    <xdr:from>
      <xdr:col>2</xdr:col>
      <xdr:colOff>419101</xdr:colOff>
      <xdr:row>32</xdr:row>
      <xdr:rowOff>66675</xdr:rowOff>
    </xdr:from>
    <xdr:to>
      <xdr:col>2</xdr:col>
      <xdr:colOff>419101</xdr:colOff>
      <xdr:row>35</xdr:row>
      <xdr:rowOff>186418</xdr:rowOff>
    </xdr:to>
    <xdr:cxnSp macro="">
      <xdr:nvCxnSpPr>
        <xdr:cNvPr id="63" name="Conector reto 62">
          <a:extLst>
            <a:ext uri="{FF2B5EF4-FFF2-40B4-BE49-F238E27FC236}">
              <a16:creationId xmlns:a16="http://schemas.microsoft.com/office/drawing/2014/main" id="{F57D5130-D846-4BD2-81FA-161CBC370C18}"/>
            </a:ext>
          </a:extLst>
        </xdr:cNvPr>
        <xdr:cNvCxnSpPr/>
      </xdr:nvCxnSpPr>
      <xdr:spPr>
        <a:xfrm>
          <a:off x="1104901" y="5210175"/>
          <a:ext cx="0" cy="691243"/>
        </a:xfrm>
        <a:prstGeom prst="line">
          <a:avLst/>
        </a:prstGeom>
        <a:ln w="28575">
          <a:solidFill>
            <a:srgbClr val="0070C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457201</xdr:colOff>
      <xdr:row>32</xdr:row>
      <xdr:rowOff>28575</xdr:rowOff>
    </xdr:from>
    <xdr:to>
      <xdr:col>6</xdr:col>
      <xdr:colOff>25048</xdr:colOff>
      <xdr:row>33</xdr:row>
      <xdr:rowOff>123825</xdr:rowOff>
    </xdr:to>
    <xdr:sp macro="" textlink="">
      <xdr:nvSpPr>
        <xdr:cNvPr id="64" name="CaixaDeTexto 63">
          <a:extLst>
            <a:ext uri="{FF2B5EF4-FFF2-40B4-BE49-F238E27FC236}">
              <a16:creationId xmlns:a16="http://schemas.microsoft.com/office/drawing/2014/main" id="{9DB0D72B-347C-4908-8DB9-9101F4C305A3}"/>
            </a:ext>
          </a:extLst>
        </xdr:cNvPr>
        <xdr:cNvSpPr txBox="1"/>
      </xdr:nvSpPr>
      <xdr:spPr>
        <a:xfrm>
          <a:off x="1143001" y="5172075"/>
          <a:ext cx="2615847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400" b="1">
              <a:solidFill>
                <a:srgbClr val="002060"/>
              </a:solidFill>
            </a:rPr>
            <a:t>DISTRIBUIÇÃO AÇÕES</a:t>
          </a:r>
        </a:p>
      </xdr:txBody>
    </xdr:sp>
    <xdr:clientData/>
  </xdr:twoCellAnchor>
  <xdr:twoCellAnchor>
    <xdr:from>
      <xdr:col>1</xdr:col>
      <xdr:colOff>190499</xdr:colOff>
      <xdr:row>21</xdr:row>
      <xdr:rowOff>76200</xdr:rowOff>
    </xdr:from>
    <xdr:to>
      <xdr:col>4</xdr:col>
      <xdr:colOff>447674</xdr:colOff>
      <xdr:row>24</xdr:row>
      <xdr:rowOff>123825</xdr:rowOff>
    </xdr:to>
    <xdr:sp macro="" textlink="'TAB DIN CONSOLIDADO'!F21">
      <xdr:nvSpPr>
        <xdr:cNvPr id="65" name="Retângulo 64">
          <a:extLst>
            <a:ext uri="{FF2B5EF4-FFF2-40B4-BE49-F238E27FC236}">
              <a16:creationId xmlns:a16="http://schemas.microsoft.com/office/drawing/2014/main" id="{387E8395-32BC-4160-8887-0FE0250A9689}"/>
            </a:ext>
          </a:extLst>
        </xdr:cNvPr>
        <xdr:cNvSpPr/>
      </xdr:nvSpPr>
      <xdr:spPr>
        <a:xfrm>
          <a:off x="190499" y="4076700"/>
          <a:ext cx="258127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836614E7-C686-4156-AD12-E76784FA6AF6}" type="TxLink">
            <a:rPr lang="en-US" sz="36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l"/>
            <a:t> R$ 55.896 </a:t>
          </a:fld>
          <a:endParaRPr lang="en-US" sz="138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</xdr:col>
      <xdr:colOff>304800</xdr:colOff>
      <xdr:row>52</xdr:row>
      <xdr:rowOff>171450</xdr:rowOff>
    </xdr:from>
    <xdr:to>
      <xdr:col>4</xdr:col>
      <xdr:colOff>561975</xdr:colOff>
      <xdr:row>56</xdr:row>
      <xdr:rowOff>28575</xdr:rowOff>
    </xdr:to>
    <xdr:sp macro="" textlink="'TAB DIN CONSOLIDADO'!I11">
      <xdr:nvSpPr>
        <xdr:cNvPr id="66" name="Retângulo 65">
          <a:extLst>
            <a:ext uri="{FF2B5EF4-FFF2-40B4-BE49-F238E27FC236}">
              <a16:creationId xmlns:a16="http://schemas.microsoft.com/office/drawing/2014/main" id="{34DCFE43-C0A7-4FD2-9EC4-AC4C575B999A}"/>
            </a:ext>
          </a:extLst>
        </xdr:cNvPr>
        <xdr:cNvSpPr/>
      </xdr:nvSpPr>
      <xdr:spPr>
        <a:xfrm>
          <a:off x="390525" y="10077450"/>
          <a:ext cx="250507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fld id="{AD837CA8-1D6B-4F77-AFFA-C10F93B91952}" type="TxLink">
            <a:rPr lang="en-US" sz="36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l"/>
            <a:t> R$ 23.343 </a:t>
          </a:fld>
          <a:endParaRPr lang="en-US" sz="7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4</xdr:col>
      <xdr:colOff>533400</xdr:colOff>
      <xdr:row>94</xdr:row>
      <xdr:rowOff>161925</xdr:rowOff>
    </xdr:from>
    <xdr:to>
      <xdr:col>10</xdr:col>
      <xdr:colOff>173414</xdr:colOff>
      <xdr:row>99</xdr:row>
      <xdr:rowOff>10887</xdr:rowOff>
    </xdr:to>
    <xdr:grpSp>
      <xdr:nvGrpSpPr>
        <xdr:cNvPr id="76" name="Agrupar 75">
          <a:extLst>
            <a:ext uri="{FF2B5EF4-FFF2-40B4-BE49-F238E27FC236}">
              <a16:creationId xmlns:a16="http://schemas.microsoft.com/office/drawing/2014/main" id="{3197B2AA-63E3-45E9-BAE2-FB1188DDD480}"/>
            </a:ext>
          </a:extLst>
        </xdr:cNvPr>
        <xdr:cNvGrpSpPr/>
      </xdr:nvGrpSpPr>
      <xdr:grpSpPr>
        <a:xfrm>
          <a:off x="2867025" y="18230850"/>
          <a:ext cx="3716714" cy="801462"/>
          <a:chOff x="266700" y="6543675"/>
          <a:chExt cx="3678614" cy="801462"/>
        </a:xfrm>
      </xdr:grpSpPr>
      <xdr:sp macro="" textlink="">
        <xdr:nvSpPr>
          <xdr:cNvPr id="68" name="Retângulo: Cantos Arredondados 67">
            <a:extLst>
              <a:ext uri="{FF2B5EF4-FFF2-40B4-BE49-F238E27FC236}">
                <a16:creationId xmlns:a16="http://schemas.microsoft.com/office/drawing/2014/main" id="{9EFCA90F-A755-4838-A0E2-D4CE967CBE3B}"/>
              </a:ext>
            </a:extLst>
          </xdr:cNvPr>
          <xdr:cNvSpPr/>
        </xdr:nvSpPr>
        <xdr:spPr>
          <a:xfrm>
            <a:off x="266700" y="6543675"/>
            <a:ext cx="3305175" cy="752475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82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/>
              <a:t> R$ 351 </a:t>
            </a:r>
          </a:p>
        </xdr:txBody>
      </xdr:sp>
      <xdr:pic>
        <xdr:nvPicPr>
          <xdr:cNvPr id="69" name="Gráfico 68" descr="Filantropia com preenchimento sólido">
            <a:extLst>
              <a:ext uri="{FF2B5EF4-FFF2-40B4-BE49-F238E27FC236}">
                <a16:creationId xmlns:a16="http://schemas.microsoft.com/office/drawing/2014/main" id="{B3B287BA-0EBA-428A-84C7-381182BA03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91264" y="6572176"/>
            <a:ext cx="695439" cy="600150"/>
          </a:xfrm>
          <a:prstGeom prst="rect">
            <a:avLst/>
          </a:prstGeom>
        </xdr:spPr>
      </xdr:pic>
      <xdr:cxnSp macro="">
        <xdr:nvCxnSpPr>
          <xdr:cNvPr id="70" name="Conector reto 69">
            <a:extLst>
              <a:ext uri="{FF2B5EF4-FFF2-40B4-BE49-F238E27FC236}">
                <a16:creationId xmlns:a16="http://schemas.microsoft.com/office/drawing/2014/main" id="{C31374B2-3F2B-4016-AC75-0389702E2713}"/>
              </a:ext>
            </a:extLst>
          </xdr:cNvPr>
          <xdr:cNvCxnSpPr/>
        </xdr:nvCxnSpPr>
        <xdr:spPr>
          <a:xfrm>
            <a:off x="1123844" y="6619875"/>
            <a:ext cx="106" cy="571500"/>
          </a:xfrm>
          <a:prstGeom prst="line">
            <a:avLst/>
          </a:prstGeom>
          <a:ln w="28575">
            <a:solidFill>
              <a:srgbClr val="0070C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1" name="CaixaDeTexto 70">
            <a:extLst>
              <a:ext uri="{FF2B5EF4-FFF2-40B4-BE49-F238E27FC236}">
                <a16:creationId xmlns:a16="http://schemas.microsoft.com/office/drawing/2014/main" id="{791299E2-CE36-4608-B647-ACD2C946666A}"/>
              </a:ext>
            </a:extLst>
          </xdr:cNvPr>
          <xdr:cNvSpPr txBox="1"/>
        </xdr:nvSpPr>
        <xdr:spPr>
          <a:xfrm>
            <a:off x="1329467" y="6543676"/>
            <a:ext cx="2615847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rgbClr val="002060"/>
                </a:solidFill>
              </a:rPr>
              <a:t>TOTAL DIVIDENDO</a:t>
            </a:r>
          </a:p>
        </xdr:txBody>
      </xdr:sp>
      <xdr:sp macro="" textlink="'TAB DIN PROVENTOS B3'!G4">
        <xdr:nvSpPr>
          <xdr:cNvPr id="75" name="CaixaDeTexto 74">
            <a:extLst>
              <a:ext uri="{FF2B5EF4-FFF2-40B4-BE49-F238E27FC236}">
                <a16:creationId xmlns:a16="http://schemas.microsoft.com/office/drawing/2014/main" id="{2CCBBCE1-7ED2-451D-B186-9B4FF2584BD8}"/>
              </a:ext>
            </a:extLst>
          </xdr:cNvPr>
          <xdr:cNvSpPr txBox="1"/>
        </xdr:nvSpPr>
        <xdr:spPr>
          <a:xfrm>
            <a:off x="1247775" y="6724650"/>
            <a:ext cx="1647826" cy="6204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042B2D69-C997-48AC-9058-C114B64123E0}" type="TxLink">
              <a:rPr lang="en-US" sz="24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alibri"/>
                <a:cs typeface="Calibri"/>
              </a:rPr>
              <a:pPr algn="l"/>
              <a:t> R$ 11.032 </a:t>
            </a:fld>
            <a:endParaRPr lang="en-US" sz="40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Arial Nova" panose="020B0504020202020204" pitchFamily="34" charset="0"/>
              <a:cs typeface="Angsana New" panose="020B0502040204020203" pitchFamily="18" charset="-34"/>
            </a:endParaRPr>
          </a:p>
        </xdr:txBody>
      </xdr:sp>
    </xdr:grpSp>
    <xdr:clientData/>
  </xdr:twoCellAnchor>
  <xdr:twoCellAnchor editAs="oneCell">
    <xdr:from>
      <xdr:col>1</xdr:col>
      <xdr:colOff>161924</xdr:colOff>
      <xdr:row>101</xdr:row>
      <xdr:rowOff>180975</xdr:rowOff>
    </xdr:from>
    <xdr:to>
      <xdr:col>4</xdr:col>
      <xdr:colOff>438149</xdr:colOff>
      <xdr:row>117</xdr:row>
      <xdr:rowOff>19050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5" name="ATIVO 1">
              <a:extLst>
                <a:ext uri="{FF2B5EF4-FFF2-40B4-BE49-F238E27FC236}">
                  <a16:creationId xmlns:a16="http://schemas.microsoft.com/office/drawing/2014/main" id="{7A2F308F-BD9E-4000-9ECD-142F9DFA554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IV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7649" y="14630400"/>
              <a:ext cx="2524125" cy="28860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161924</xdr:colOff>
      <xdr:row>94</xdr:row>
      <xdr:rowOff>171451</xdr:rowOff>
    </xdr:from>
    <xdr:to>
      <xdr:col>4</xdr:col>
      <xdr:colOff>457199</xdr:colOff>
      <xdr:row>101</xdr:row>
      <xdr:rowOff>133351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9" name="TIPO 2">
              <a:extLst>
                <a:ext uri="{FF2B5EF4-FFF2-40B4-BE49-F238E27FC236}">
                  <a16:creationId xmlns:a16="http://schemas.microsoft.com/office/drawing/2014/main" id="{866B317C-FE7A-4B05-8F37-9D2801DD340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23999" y="13287376"/>
              <a:ext cx="1266825" cy="1295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161925</xdr:colOff>
      <xdr:row>94</xdr:row>
      <xdr:rowOff>171450</xdr:rowOff>
    </xdr:from>
    <xdr:to>
      <xdr:col>3</xdr:col>
      <xdr:colOff>142874</xdr:colOff>
      <xdr:row>101</xdr:row>
      <xdr:rowOff>142875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60" name="ANO 2">
              <a:extLst>
                <a:ext uri="{FF2B5EF4-FFF2-40B4-BE49-F238E27FC236}">
                  <a16:creationId xmlns:a16="http://schemas.microsoft.com/office/drawing/2014/main" id="{83078E91-6589-4E79-8895-59C6432B536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7650" y="13287375"/>
              <a:ext cx="1257299" cy="13049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4</xdr:col>
      <xdr:colOff>419100</xdr:colOff>
      <xdr:row>98</xdr:row>
      <xdr:rowOff>166687</xdr:rowOff>
    </xdr:from>
    <xdr:to>
      <xdr:col>16</xdr:col>
      <xdr:colOff>571499</xdr:colOff>
      <xdr:row>116</xdr:row>
      <xdr:rowOff>161925</xdr:rowOff>
    </xdr:to>
    <xdr:graphicFrame macro="">
      <xdr:nvGraphicFramePr>
        <xdr:cNvPr id="61" name="Gráfico 60">
          <a:extLst>
            <a:ext uri="{FF2B5EF4-FFF2-40B4-BE49-F238E27FC236}">
              <a16:creationId xmlns:a16="http://schemas.microsoft.com/office/drawing/2014/main" id="{BA6B7974-B9A7-499D-AB15-9C92F91482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523875</xdr:colOff>
      <xdr:row>119</xdr:row>
      <xdr:rowOff>142875</xdr:rowOff>
    </xdr:from>
    <xdr:to>
      <xdr:col>10</xdr:col>
      <xdr:colOff>219075</xdr:colOff>
      <xdr:row>123</xdr:row>
      <xdr:rowOff>182337</xdr:rowOff>
    </xdr:to>
    <xdr:grpSp>
      <xdr:nvGrpSpPr>
        <xdr:cNvPr id="67" name="Agrupar 66">
          <a:extLst>
            <a:ext uri="{FF2B5EF4-FFF2-40B4-BE49-F238E27FC236}">
              <a16:creationId xmlns:a16="http://schemas.microsoft.com/office/drawing/2014/main" id="{549D956D-1065-4BBC-8327-7FFC7E05B83A}"/>
            </a:ext>
          </a:extLst>
        </xdr:cNvPr>
        <xdr:cNvGrpSpPr/>
      </xdr:nvGrpSpPr>
      <xdr:grpSpPr>
        <a:xfrm>
          <a:off x="2857500" y="22974300"/>
          <a:ext cx="3771900" cy="801462"/>
          <a:chOff x="266700" y="6543675"/>
          <a:chExt cx="3733800" cy="801462"/>
        </a:xfrm>
      </xdr:grpSpPr>
      <xdr:sp macro="" textlink="">
        <xdr:nvSpPr>
          <xdr:cNvPr id="72" name="Retângulo: Cantos Arredondados 71">
            <a:extLst>
              <a:ext uri="{FF2B5EF4-FFF2-40B4-BE49-F238E27FC236}">
                <a16:creationId xmlns:a16="http://schemas.microsoft.com/office/drawing/2014/main" id="{8E24058D-D210-4C91-A29A-D284B6FB718F}"/>
              </a:ext>
            </a:extLst>
          </xdr:cNvPr>
          <xdr:cNvSpPr/>
        </xdr:nvSpPr>
        <xdr:spPr>
          <a:xfrm>
            <a:off x="266700" y="6543675"/>
            <a:ext cx="3733800" cy="752475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82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/>
              <a:t> R$ 351 </a:t>
            </a:r>
          </a:p>
        </xdr:txBody>
      </xdr:sp>
      <xdr:pic>
        <xdr:nvPicPr>
          <xdr:cNvPr id="73" name="Gráfico 72" descr="Filantropia com preenchimento sólido">
            <a:extLst>
              <a:ext uri="{FF2B5EF4-FFF2-40B4-BE49-F238E27FC236}">
                <a16:creationId xmlns:a16="http://schemas.microsoft.com/office/drawing/2014/main" id="{207493C8-539D-4002-B213-31A4ABD644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91264" y="6572176"/>
            <a:ext cx="695439" cy="600150"/>
          </a:xfrm>
          <a:prstGeom prst="rect">
            <a:avLst/>
          </a:prstGeom>
        </xdr:spPr>
      </xdr:pic>
      <xdr:cxnSp macro="">
        <xdr:nvCxnSpPr>
          <xdr:cNvPr id="78" name="Conector reto 77">
            <a:extLst>
              <a:ext uri="{FF2B5EF4-FFF2-40B4-BE49-F238E27FC236}">
                <a16:creationId xmlns:a16="http://schemas.microsoft.com/office/drawing/2014/main" id="{BF8BDE37-EA42-4DDD-A901-0CFE2E7A5A7C}"/>
              </a:ext>
            </a:extLst>
          </xdr:cNvPr>
          <xdr:cNvCxnSpPr/>
        </xdr:nvCxnSpPr>
        <xdr:spPr>
          <a:xfrm>
            <a:off x="1123844" y="6619875"/>
            <a:ext cx="106" cy="571500"/>
          </a:xfrm>
          <a:prstGeom prst="line">
            <a:avLst/>
          </a:prstGeom>
          <a:ln w="28575">
            <a:solidFill>
              <a:srgbClr val="0070C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8C302CCB-128E-44C8-B5CA-EBC4A0F1F10D}"/>
              </a:ext>
            </a:extLst>
          </xdr:cNvPr>
          <xdr:cNvSpPr txBox="1"/>
        </xdr:nvSpPr>
        <xdr:spPr>
          <a:xfrm>
            <a:off x="1329467" y="6543676"/>
            <a:ext cx="2615847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rgbClr val="002060"/>
                </a:solidFill>
              </a:rPr>
              <a:t>TOTAL DIVIDENDO </a:t>
            </a:r>
          </a:p>
        </xdr:txBody>
      </xdr:sp>
      <xdr:sp macro="" textlink="'TAB DIN PROVENTOS B3'!B4">
        <xdr:nvSpPr>
          <xdr:cNvPr id="80" name="CaixaDeTexto 79">
            <a:extLst>
              <a:ext uri="{FF2B5EF4-FFF2-40B4-BE49-F238E27FC236}">
                <a16:creationId xmlns:a16="http://schemas.microsoft.com/office/drawing/2014/main" id="{E966EF7B-4727-43B4-9047-9C0D963E9477}"/>
              </a:ext>
            </a:extLst>
          </xdr:cNvPr>
          <xdr:cNvSpPr txBox="1"/>
        </xdr:nvSpPr>
        <xdr:spPr>
          <a:xfrm>
            <a:off x="1247775" y="6724650"/>
            <a:ext cx="1647826" cy="6204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C8BC1637-4432-4C25-B2D7-E025F41AE6BA}" type="TxLink">
              <a:rPr lang="en-US" sz="24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alibri"/>
                <a:cs typeface="Calibri"/>
              </a:rPr>
              <a:pPr algn="l"/>
              <a:t> R$ 5.575 </a:t>
            </a:fld>
            <a:endParaRPr lang="en-US" sz="24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Calibri"/>
              <a:cs typeface="Calibri"/>
            </a:endParaRPr>
          </a:p>
        </xdr:txBody>
      </xdr:sp>
    </xdr:grpSp>
    <xdr:clientData/>
  </xdr:twoCellAnchor>
  <xdr:twoCellAnchor>
    <xdr:from>
      <xdr:col>3</xdr:col>
      <xdr:colOff>762000</xdr:colOff>
      <xdr:row>147</xdr:row>
      <xdr:rowOff>38100</xdr:rowOff>
    </xdr:from>
    <xdr:to>
      <xdr:col>17</xdr:col>
      <xdr:colOff>47626</xdr:colOff>
      <xdr:row>166</xdr:row>
      <xdr:rowOff>171450</xdr:rowOff>
    </xdr:to>
    <xdr:graphicFrame macro="">
      <xdr:nvGraphicFramePr>
        <xdr:cNvPr id="87" name="Gráfico 86">
          <a:extLst>
            <a:ext uri="{FF2B5EF4-FFF2-40B4-BE49-F238E27FC236}">
              <a16:creationId xmlns:a16="http://schemas.microsoft.com/office/drawing/2014/main" id="{F330E2F7-365D-402D-A997-7A4B7ECA72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</xdr:col>
      <xdr:colOff>180974</xdr:colOff>
      <xdr:row>147</xdr:row>
      <xdr:rowOff>104774</xdr:rowOff>
    </xdr:from>
    <xdr:to>
      <xdr:col>3</xdr:col>
      <xdr:colOff>847725</xdr:colOff>
      <xdr:row>166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8" name="ATIVO">
              <a:extLst>
                <a:ext uri="{FF2B5EF4-FFF2-40B4-BE49-F238E27FC236}">
                  <a16:creationId xmlns:a16="http://schemas.microsoft.com/office/drawing/2014/main" id="{5819FC4A-2C34-44B1-A21A-85F2207D651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TIV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6699" y="23317199"/>
              <a:ext cx="1943101" cy="3590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171450</xdr:colOff>
      <xdr:row>144</xdr:row>
      <xdr:rowOff>1</xdr:rowOff>
    </xdr:from>
    <xdr:to>
      <xdr:col>3</xdr:col>
      <xdr:colOff>847725</xdr:colOff>
      <xdr:row>147</xdr:row>
      <xdr:rowOff>76200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89" name="TIPO 1">
              <a:extLst>
                <a:ext uri="{FF2B5EF4-FFF2-40B4-BE49-F238E27FC236}">
                  <a16:creationId xmlns:a16="http://schemas.microsoft.com/office/drawing/2014/main" id="{F924F352-8BDC-44FF-BDCF-10569C710F5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P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57175" y="22640926"/>
              <a:ext cx="1952625" cy="6476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3</xdr:col>
      <xdr:colOff>914400</xdr:colOff>
      <xdr:row>144</xdr:row>
      <xdr:rowOff>76200</xdr:rowOff>
    </xdr:from>
    <xdr:to>
      <xdr:col>9</xdr:col>
      <xdr:colOff>285750</xdr:colOff>
      <xdr:row>148</xdr:row>
      <xdr:rowOff>115662</xdr:rowOff>
    </xdr:to>
    <xdr:grpSp>
      <xdr:nvGrpSpPr>
        <xdr:cNvPr id="96" name="Agrupar 95">
          <a:extLst>
            <a:ext uri="{FF2B5EF4-FFF2-40B4-BE49-F238E27FC236}">
              <a16:creationId xmlns:a16="http://schemas.microsoft.com/office/drawing/2014/main" id="{096D004B-B3DB-43E4-8AE6-D8F77B74A0B9}"/>
            </a:ext>
          </a:extLst>
        </xdr:cNvPr>
        <xdr:cNvGrpSpPr/>
      </xdr:nvGrpSpPr>
      <xdr:grpSpPr>
        <a:xfrm>
          <a:off x="2276475" y="27670125"/>
          <a:ext cx="3714750" cy="801462"/>
          <a:chOff x="266700" y="6543675"/>
          <a:chExt cx="3733800" cy="801462"/>
        </a:xfrm>
      </xdr:grpSpPr>
      <xdr:sp macro="" textlink="">
        <xdr:nvSpPr>
          <xdr:cNvPr id="97" name="Retângulo: Cantos Arredondados 96">
            <a:extLst>
              <a:ext uri="{FF2B5EF4-FFF2-40B4-BE49-F238E27FC236}">
                <a16:creationId xmlns:a16="http://schemas.microsoft.com/office/drawing/2014/main" id="{BB5CB3DC-683B-45A1-8C13-62D4CF5C04CD}"/>
              </a:ext>
            </a:extLst>
          </xdr:cNvPr>
          <xdr:cNvSpPr/>
        </xdr:nvSpPr>
        <xdr:spPr>
          <a:xfrm>
            <a:off x="266700" y="6543675"/>
            <a:ext cx="3733800" cy="752475"/>
          </a:xfrm>
          <a:prstGeom prst="roundRect">
            <a:avLst>
              <a:gd name="adj" fmla="val 0"/>
            </a:avLst>
          </a:prstGeom>
          <a:solidFill>
            <a:schemeClr val="bg1"/>
          </a:solidFill>
          <a:ln>
            <a:noFill/>
          </a:ln>
          <a:effectLst>
            <a:outerShdw blurRad="50800" dist="38100" dir="2700000" algn="tl" rotWithShape="0">
              <a:prstClr val="black">
                <a:alpha val="82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/>
              <a:t> R$ 351 </a:t>
            </a:r>
          </a:p>
        </xdr:txBody>
      </xdr:sp>
      <xdr:pic>
        <xdr:nvPicPr>
          <xdr:cNvPr id="98" name="Gráfico 97" descr="Filantropia com preenchimento sólido">
            <a:extLst>
              <a:ext uri="{FF2B5EF4-FFF2-40B4-BE49-F238E27FC236}">
                <a16:creationId xmlns:a16="http://schemas.microsoft.com/office/drawing/2014/main" id="{814750E1-D84A-4C89-943F-7423EBEABE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291264" y="6572176"/>
            <a:ext cx="695439" cy="600150"/>
          </a:xfrm>
          <a:prstGeom prst="rect">
            <a:avLst/>
          </a:prstGeom>
        </xdr:spPr>
      </xdr:pic>
      <xdr:cxnSp macro="">
        <xdr:nvCxnSpPr>
          <xdr:cNvPr id="99" name="Conector reto 98">
            <a:extLst>
              <a:ext uri="{FF2B5EF4-FFF2-40B4-BE49-F238E27FC236}">
                <a16:creationId xmlns:a16="http://schemas.microsoft.com/office/drawing/2014/main" id="{D9AEE788-53B0-488D-B1BA-411929FE791D}"/>
              </a:ext>
            </a:extLst>
          </xdr:cNvPr>
          <xdr:cNvCxnSpPr/>
        </xdr:nvCxnSpPr>
        <xdr:spPr>
          <a:xfrm>
            <a:off x="1123844" y="6619875"/>
            <a:ext cx="106" cy="571500"/>
          </a:xfrm>
          <a:prstGeom prst="line">
            <a:avLst/>
          </a:prstGeom>
          <a:ln w="28575">
            <a:solidFill>
              <a:srgbClr val="0070C0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0" name="CaixaDeTexto 99">
            <a:extLst>
              <a:ext uri="{FF2B5EF4-FFF2-40B4-BE49-F238E27FC236}">
                <a16:creationId xmlns:a16="http://schemas.microsoft.com/office/drawing/2014/main" id="{621C10D6-37C6-4833-A6DD-1910E804593E}"/>
              </a:ext>
            </a:extLst>
          </xdr:cNvPr>
          <xdr:cNvSpPr txBox="1"/>
        </xdr:nvSpPr>
        <xdr:spPr>
          <a:xfrm>
            <a:off x="1329467" y="6543676"/>
            <a:ext cx="2615847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1400" b="1">
                <a:solidFill>
                  <a:srgbClr val="002060"/>
                </a:solidFill>
              </a:rPr>
              <a:t>DIVIDENDO POR COTA - MÉDIA</a:t>
            </a:r>
          </a:p>
        </xdr:txBody>
      </xdr:sp>
      <xdr:sp macro="" textlink="'PROVENTOS B3'!E2">
        <xdr:nvSpPr>
          <xdr:cNvPr id="101" name="CaixaDeTexto 100">
            <a:extLst>
              <a:ext uri="{FF2B5EF4-FFF2-40B4-BE49-F238E27FC236}">
                <a16:creationId xmlns:a16="http://schemas.microsoft.com/office/drawing/2014/main" id="{713A4E7C-914A-4427-B8C4-1949DB7A48E6}"/>
              </a:ext>
            </a:extLst>
          </xdr:cNvPr>
          <xdr:cNvSpPr txBox="1"/>
        </xdr:nvSpPr>
        <xdr:spPr>
          <a:xfrm>
            <a:off x="1371600" y="6724650"/>
            <a:ext cx="1647826" cy="6204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ACB0F344-143A-4A16-9FF5-612C506ABE13}" type="TxLink">
              <a:rPr lang="en-US" sz="2000" b="1" i="0" u="none" strike="noStrike">
                <a:solidFill>
                  <a:schemeClr val="tx1">
                    <a:lumMod val="75000"/>
                    <a:lumOff val="25000"/>
                  </a:schemeClr>
                </a:solidFill>
                <a:latin typeface="Calibri"/>
                <a:cs typeface="Calibri"/>
              </a:rPr>
              <a:pPr algn="l"/>
              <a:t>1,21</a:t>
            </a:fld>
            <a:endParaRPr lang="en-US" sz="6600" b="1" i="0" u="none" strike="noStrike">
              <a:solidFill>
                <a:schemeClr val="tx1">
                  <a:lumMod val="75000"/>
                  <a:lumOff val="25000"/>
                </a:schemeClr>
              </a:solidFill>
              <a:latin typeface="Arial Nova" panose="020B0504020202020204" pitchFamily="34" charset="0"/>
              <a:cs typeface="Angsana New" panose="020B0502040204020203" pitchFamily="18" charset="-34"/>
            </a:endParaRPr>
          </a:p>
        </xdr:txBody>
      </xdr:sp>
    </xdr:grpSp>
    <xdr:clientData/>
  </xdr:twoCellAnchor>
  <xdr:twoCellAnchor>
    <xdr:from>
      <xdr:col>9</xdr:col>
      <xdr:colOff>390525</xdr:colOff>
      <xdr:row>7</xdr:row>
      <xdr:rowOff>28575</xdr:rowOff>
    </xdr:from>
    <xdr:to>
      <xdr:col>16</xdr:col>
      <xdr:colOff>409575</xdr:colOff>
      <xdr:row>27</xdr:row>
      <xdr:rowOff>19050</xdr:rowOff>
    </xdr:to>
    <xdr:graphicFrame macro="">
      <xdr:nvGraphicFramePr>
        <xdr:cNvPr id="102" name="Gráfico 101">
          <a:extLst>
            <a:ext uri="{FF2B5EF4-FFF2-40B4-BE49-F238E27FC236}">
              <a16:creationId xmlns:a16="http://schemas.microsoft.com/office/drawing/2014/main" id="{C4B468D6-4422-4E1E-8FEA-629F9404C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</xdr:col>
      <xdr:colOff>495299</xdr:colOff>
      <xdr:row>35</xdr:row>
      <xdr:rowOff>19050</xdr:rowOff>
    </xdr:from>
    <xdr:to>
      <xdr:col>16</xdr:col>
      <xdr:colOff>219074</xdr:colOff>
      <xdr:row>53</xdr:row>
      <xdr:rowOff>133350</xdr:rowOff>
    </xdr:to>
    <xdr:graphicFrame macro="">
      <xdr:nvGraphicFramePr>
        <xdr:cNvPr id="103" name="Gráfico 102">
          <a:extLst>
            <a:ext uri="{FF2B5EF4-FFF2-40B4-BE49-F238E27FC236}">
              <a16:creationId xmlns:a16="http://schemas.microsoft.com/office/drawing/2014/main" id="{FA1ACB82-727E-4A88-9492-6CE543AC7A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76200</xdr:colOff>
      <xdr:row>13</xdr:row>
      <xdr:rowOff>104775</xdr:rowOff>
    </xdr:from>
    <xdr:to>
      <xdr:col>2</xdr:col>
      <xdr:colOff>466725</xdr:colOff>
      <xdr:row>16</xdr:row>
      <xdr:rowOff>152400</xdr:rowOff>
    </xdr:to>
    <xdr:sp macro="" textlink="'TAB DIN CONSOLIDADO'!F43">
      <xdr:nvSpPr>
        <xdr:cNvPr id="113" name="Retângulo 112">
          <a:extLst>
            <a:ext uri="{FF2B5EF4-FFF2-40B4-BE49-F238E27FC236}">
              <a16:creationId xmlns:a16="http://schemas.microsoft.com/office/drawing/2014/main" id="{790C1AF0-819F-49B6-8B90-94653B285ED2}"/>
            </a:ext>
          </a:extLst>
        </xdr:cNvPr>
        <xdr:cNvSpPr/>
      </xdr:nvSpPr>
      <xdr:spPr>
        <a:xfrm>
          <a:off x="76200" y="2581275"/>
          <a:ext cx="107632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F98ABAF5-D407-4EEE-B22E-1FD276D98CFA}" type="TxLink">
            <a:rPr lang="en-US" sz="4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 </a:t>
          </a:fld>
          <a:endParaRPr lang="en-US" sz="400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</xdr:col>
      <xdr:colOff>95249</xdr:colOff>
      <xdr:row>13</xdr:row>
      <xdr:rowOff>152400</xdr:rowOff>
    </xdr:from>
    <xdr:to>
      <xdr:col>2</xdr:col>
      <xdr:colOff>361950</xdr:colOff>
      <xdr:row>17</xdr:row>
      <xdr:rowOff>9525</xdr:rowOff>
    </xdr:to>
    <xdr:sp macro="" textlink="'TAB DIN CONSOLIDADO'!E26">
      <xdr:nvSpPr>
        <xdr:cNvPr id="114" name="Retângulo 113">
          <a:extLst>
            <a:ext uri="{FF2B5EF4-FFF2-40B4-BE49-F238E27FC236}">
              <a16:creationId xmlns:a16="http://schemas.microsoft.com/office/drawing/2014/main" id="{DE09302F-FA92-48EA-A9A0-26DAABAED3FA}"/>
            </a:ext>
          </a:extLst>
        </xdr:cNvPr>
        <xdr:cNvSpPr/>
      </xdr:nvSpPr>
      <xdr:spPr>
        <a:xfrm>
          <a:off x="180974" y="2628900"/>
          <a:ext cx="952501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3C7FD1B-34BA-442C-B84C-FB23E1636677}" type="TxLink">
            <a:rPr lang="en-US" sz="4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 17 </a:t>
          </a:fld>
          <a:endParaRPr lang="en-US" sz="2315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</xdr:col>
      <xdr:colOff>133350</xdr:colOff>
      <xdr:row>45</xdr:row>
      <xdr:rowOff>104775</xdr:rowOff>
    </xdr:from>
    <xdr:to>
      <xdr:col>2</xdr:col>
      <xdr:colOff>390525</xdr:colOff>
      <xdr:row>48</xdr:row>
      <xdr:rowOff>152400</xdr:rowOff>
    </xdr:to>
    <xdr:sp macro="" textlink="'TAB DIN CONSOLIDADO'!H16">
      <xdr:nvSpPr>
        <xdr:cNvPr id="115" name="Retângulo 114">
          <a:extLst>
            <a:ext uri="{FF2B5EF4-FFF2-40B4-BE49-F238E27FC236}">
              <a16:creationId xmlns:a16="http://schemas.microsoft.com/office/drawing/2014/main" id="{B9EB85D0-11EF-4BE4-8F07-3C58BB56C630}"/>
            </a:ext>
          </a:extLst>
        </xdr:cNvPr>
        <xdr:cNvSpPr/>
      </xdr:nvSpPr>
      <xdr:spPr>
        <a:xfrm>
          <a:off x="219075" y="8677275"/>
          <a:ext cx="942975" cy="619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A348055C-EB06-4B4D-A88E-C605EF9EB910}" type="TxLink">
            <a:rPr lang="en-US" sz="4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 7 </a:t>
          </a:fld>
          <a:endParaRPr lang="en-US" sz="115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1</xdr:col>
      <xdr:colOff>180975</xdr:colOff>
      <xdr:row>65</xdr:row>
      <xdr:rowOff>19050</xdr:rowOff>
    </xdr:from>
    <xdr:to>
      <xdr:col>16</xdr:col>
      <xdr:colOff>571500</xdr:colOff>
      <xdr:row>93</xdr:row>
      <xdr:rowOff>19050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A7BC039B-07E9-4EFA-9F87-1186A211321C}"/>
            </a:ext>
          </a:extLst>
        </xdr:cNvPr>
        <xdr:cNvSpPr/>
      </xdr:nvSpPr>
      <xdr:spPr>
        <a:xfrm>
          <a:off x="266700" y="12401550"/>
          <a:ext cx="10753725" cy="5305425"/>
        </a:xfrm>
        <a:prstGeom prst="rect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17</xdr:col>
      <xdr:colOff>0</xdr:colOff>
      <xdr:row>1</xdr:row>
      <xdr:rowOff>19050</xdr:rowOff>
    </xdr:from>
    <xdr:to>
      <xdr:col>19</xdr:col>
      <xdr:colOff>66675</xdr:colOff>
      <xdr:row>2</xdr:row>
      <xdr:rowOff>142875</xdr:rowOff>
    </xdr:to>
    <xdr:sp macro="[0]!atualizartud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FB8F946-518E-4D91-837D-321645F555A7}"/>
            </a:ext>
          </a:extLst>
        </xdr:cNvPr>
        <xdr:cNvSpPr/>
      </xdr:nvSpPr>
      <xdr:spPr>
        <a:xfrm>
          <a:off x="11058525" y="209550"/>
          <a:ext cx="1285875" cy="314325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200" b="1"/>
            <a:t>ATUALIZAR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leiton Da Silva Cruz" id="{8AB8905D-2822-4D55-8E51-BE0CF4CFA8EB}" userId="S::cleiton.cruz@cea.com.br::fcac2bbd-2430-42e9-98db-837171a2255a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ra" refreshedDate="44835.988275000003" createdVersion="7" refreshedVersion="7" minRefreshableVersion="3" recordCount="293" xr:uid="{A62D7DD2-F980-427B-AB87-0842DA382E29}">
  <cacheSource type="worksheet">
    <worksheetSource name="Tabela2"/>
  </cacheSource>
  <cacheFields count="12">
    <cacheField name="ATIVO" numFmtId="0">
      <sharedItems count="48">
        <s v="CMIG3"/>
        <s v="TAEE4"/>
        <s v="SANB4"/>
        <s v="XPML11"/>
        <s v="RBVA11"/>
        <s v="BCFF11"/>
        <s v="BRCR11"/>
        <s v="HGLG11"/>
        <s v="HGRE11"/>
        <s v="HGRU11"/>
        <s v="KNRI11"/>
        <s v="MXRF11"/>
        <s v="VILG11"/>
        <s v="VINO11"/>
        <s v="XPLG11"/>
        <s v="LVBI11"/>
        <s v="BBAS3"/>
        <s v="TRPL4"/>
        <s v="B3SA3"/>
        <s v="ALZR11"/>
        <s v="BTLG11"/>
        <s v="IRDM11"/>
        <s v="HCTR11"/>
        <s v="SAPR3"/>
        <s v="HCTR11 " u="1"/>
        <s v="SANB4 " u="1"/>
        <s v="CMIG3 " u="1"/>
        <s v="VINO11 " u="1"/>
        <s v="BTLG11 " u="1"/>
        <s v="MXRF11 " u="1"/>
        <s v="BCFF11 " u="1"/>
        <s v="IRDM11 " u="1"/>
        <s v="HGRE11 " u="1"/>
        <s v="TRPL4 " u="1"/>
        <s v="XPLG11 " u="1"/>
        <s v="RBVA11 " u="1"/>
        <s v="BBAS3 " u="1"/>
        <s v="SAPR3 " u="1"/>
        <s v="HGRU11 " u="1"/>
        <s v="BRCR11 " u="1"/>
        <s v="KNRI11 " u="1"/>
        <s v="TAEE4 " u="1"/>
        <s v="ALZR11 " u="1"/>
        <s v="VILG11 " u="1"/>
        <s v="B3SA3 " u="1"/>
        <s v="XPML11 " u="1"/>
        <s v="HGLG11 " u="1"/>
        <s v="LVBI11 " u="1"/>
      </sharedItems>
    </cacheField>
    <cacheField name="TIPO" numFmtId="0">
      <sharedItems count="2">
        <s v="AÇÃO"/>
        <s v="FII"/>
      </sharedItems>
    </cacheField>
    <cacheField name="MÊS" numFmtId="0">
      <sharedItems count="12">
        <s v="DEZEMBRO"/>
        <s v="NOVEMBRO"/>
        <s v="OUTUBRO"/>
        <s v="SETEMBRO"/>
        <s v="AGOSTO"/>
        <s v="JULHO"/>
        <s v="JUNHO"/>
        <s v="ABRIL"/>
        <s v="MARÇO"/>
        <s v="FEVEREIRO"/>
        <s v="MAIO"/>
        <s v="JANEIRO"/>
      </sharedItems>
    </cacheField>
    <cacheField name="ANO" numFmtId="0">
      <sharedItems containsSemiMixedTypes="0" containsString="0" containsNumber="1" containsInteger="1" minValue="2020" maxValue="2022" count="3">
        <n v="2020"/>
        <n v="2021"/>
        <n v="2022"/>
      </sharedItems>
    </cacheField>
    <cacheField name="MÉDIA DIVIDENDO" numFmtId="2">
      <sharedItems containsSemiMixedTypes="0" containsString="0" containsNumber="1" minValue="1.2070588235294117" maxValue="1.2070588235294117"/>
    </cacheField>
    <cacheField name="Produto" numFmtId="0">
      <sharedItems/>
    </cacheField>
    <cacheField name="DATA PGT" numFmtId="14">
      <sharedItems containsDate="1" containsMixedTypes="1" minDate="2022-09-06T00:00:00" maxDate="2022-10-01T00:00:00"/>
    </cacheField>
    <cacheField name="Tipo de Evento" numFmtId="0">
      <sharedItems/>
    </cacheField>
    <cacheField name="Instituição" numFmtId="0">
      <sharedItems/>
    </cacheField>
    <cacheField name="Quantidade" numFmtId="0">
      <sharedItems containsSemiMixedTypes="0" containsString="0" containsNumber="1" containsInteger="1" minValue="1" maxValue="1"/>
    </cacheField>
    <cacheField name="Preço unitário" numFmtId="171">
      <sharedItems containsSemiMixedTypes="0" containsString="0" containsNumber="1" minValue="0" maxValue="5.65"/>
    </cacheField>
    <cacheField name="Valor líquido" numFmtId="171">
      <sharedItems containsSemiMixedTypes="0" containsString="0" containsNumber="1" minValue="0.03" maxValue="389.89"/>
    </cacheField>
  </cacheFields>
  <extLst>
    <ext xmlns:x14="http://schemas.microsoft.com/office/spreadsheetml/2009/9/main" uri="{725AE2AE-9491-48be-B2B4-4EB974FC3084}">
      <x14:pivotCacheDefinition pivotCacheId="23487686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lara" refreshedDate="44835.988275694443" createdVersion="7" refreshedVersion="7" minRefreshableVersion="3" recordCount="24" xr:uid="{87B8C7DA-97BC-4D34-95AE-347E918948DA}">
  <cacheSource type="worksheet">
    <worksheetSource name="Tabela4"/>
  </cacheSource>
  <cacheFields count="14">
    <cacheField name="ATIVO" numFmtId="0">
      <sharedItems count="25">
        <s v="MXRF11"/>
        <s v="KNRI11"/>
        <s v="HGRU11"/>
        <s v="VINO11"/>
        <s v="XPML11"/>
        <s v="HGRE11"/>
        <s v="HGLG11"/>
        <s v="BCFF11"/>
        <s v="LVBI11"/>
        <s v="ALZR11"/>
        <s v="XPLG11"/>
        <s v="VILG11"/>
        <s v="BRCR11"/>
        <s v="RBVA11"/>
        <s v="BTLG11"/>
        <s v="IRDM11"/>
        <s v="HCTR11"/>
        <s v="BBAS3"/>
        <s v="B3SA3"/>
        <s v="TAEE4"/>
        <s v="SANB4"/>
        <s v="TRPL4"/>
        <s v="CMIG3"/>
        <s v="SAPR3"/>
        <s v="CCRO3" u="1"/>
      </sharedItems>
    </cacheField>
    <cacheField name="TIPO" numFmtId="0">
      <sharedItems count="2">
        <s v="FII"/>
        <s v="AÇÃO"/>
      </sharedItems>
    </cacheField>
    <cacheField name="NOME" numFmtId="44">
      <sharedItems/>
    </cacheField>
    <cacheField name="SUBSETOR" numFmtId="0">
      <sharedItems count="12">
        <s v="TÍTULOS E VALORES IMOBILIÁRIOS"/>
        <s v="HÍBRIDO"/>
        <s v="LAJES CORPORATIVAS"/>
        <s v="SHOPPING"/>
        <s v="LOGÍSTICA"/>
        <s v="FUNDO DE FUNDO"/>
        <s v="FINANCEIRO"/>
        <s v="ENERGIA ELÉTRICA"/>
        <s v="SANEAMENTO"/>
        <s v="Outros" u="1"/>
        <s v="Shoppings" u="1"/>
        <s v="Títulos e Val. Mob." u="1"/>
      </sharedItems>
    </cacheField>
    <cacheField name="COTAS ADQUIRIDAS" numFmtId="167">
      <sharedItems containsSemiMixedTypes="0" containsString="0" containsNumber="1" containsInteger="1" minValue="21" maxValue="800"/>
    </cacheField>
    <cacheField name="COTAÇÃO ATUAL" numFmtId="44">
      <sharedItems containsSemiMixedTypes="0" containsString="0" containsNumber="1" minValue="3.32" maxValue="171.5"/>
    </cacheField>
    <cacheField name="PREÇO MÉDIO" numFmtId="44">
      <sharedItems containsSemiMixedTypes="0" containsString="0" containsNumber="1" minValue="4.1100000000000003" maxValue="166.39"/>
    </cacheField>
    <cacheField name="VARIAÇÃO PM" numFmtId="9">
      <sharedItems containsSemiMixedTypes="0" containsString="0" containsNumber="1" minValue="-0.1941148552444234" maxValue="0.25431455551937487"/>
    </cacheField>
    <cacheField name="TOTAL AQUISIÇÃO" numFmtId="164">
      <sharedItems containsSemiMixedTypes="0" containsString="0" containsNumber="1" minValue="1699.5" maxValue="4487.0999999999995"/>
    </cacheField>
    <cacheField name="PATRIMONIO ATUAL" numFmtId="164">
      <sharedItems containsSemiMixedTypes="0" containsString="0" containsNumber="1" minValue="1782" maxValue="4584"/>
    </cacheField>
    <cacheField name="LUCRO PREJUIZO" numFmtId="164">
      <sharedItems containsSemiMixedTypes="0" containsString="0" containsNumber="1" minValue="-858.90000000000009" maxValue="859.10000000000082"/>
    </cacheField>
    <cacheField name="VARIAÇÃO %" numFmtId="9">
      <sharedItems containsSemiMixedTypes="0" containsString="0" containsNumber="1" minValue="-0.1941148552444234" maxValue="0.2543145555193751"/>
    </cacheField>
    <cacheField name="% CARTEIRA" numFmtId="9">
      <sharedItems containsSemiMixedTypes="0" containsString="0" containsNumber="1" minValue="2.248869318481541E-2" maxValue="5.7849702334003279E-2"/>
    </cacheField>
    <cacheField name="RESUMO IR - BENS E DIREITOS" numFmtId="9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3">
  <r>
    <x v="0"/>
    <x v="0"/>
    <x v="0"/>
    <x v="0"/>
    <n v="1.2070588235294117"/>
    <s v="CMIG3 - CIA. ENERGETICA DE MINAS GERAIS- CEMIG"/>
    <s v="30/12/2020"/>
    <s v="Dividendo"/>
    <s v="SANTANDER CORRETORA DE CAMBIO E VALORES MOBILIARIOS S.A"/>
    <n v="1"/>
    <n v="0.25"/>
    <n v="24.97"/>
  </r>
  <r>
    <x v="1"/>
    <x v="0"/>
    <x v="0"/>
    <x v="0"/>
    <n v="1.2070588235294117"/>
    <s v="TAEE4 - TRANSMISSORA ALIANCA DE ENERGIA ELETRICA S/A"/>
    <s v="28/12/2020"/>
    <s v="Juros Sobre Capital Próprio"/>
    <s v="SANTANDER CORRETORA DE CAMBIO E VALORES MOBILIARIOS S.A"/>
    <n v="1"/>
    <n v="0.05"/>
    <n v="13.38"/>
  </r>
  <r>
    <x v="2"/>
    <x v="0"/>
    <x v="0"/>
    <x v="0"/>
    <n v="1.2070588235294117"/>
    <s v="SANB4 - BANCO SANTANDER (BRASIL) S.A."/>
    <s v="23/12/2020"/>
    <s v="Juros Sobre Capital Próprio"/>
    <s v="SANTANDER CORRETORA DE CAMBIO E VALORES MOBILIARIOS S.A"/>
    <n v="1"/>
    <n v="0.14000000000000001"/>
    <n v="11.95"/>
  </r>
  <r>
    <x v="3"/>
    <x v="1"/>
    <x v="0"/>
    <x v="0"/>
    <n v="1.2070588235294117"/>
    <s v="XPML11 - XP MALLS FDO INV IMOB FII"/>
    <s v="23/12/2020"/>
    <s v="Rendimento"/>
    <s v="SANTANDER CORRETORA DE CAMBIO E VALORES MOBILIARIOS S.A"/>
    <n v="1"/>
    <n v="0.45"/>
    <n v="0.9"/>
  </r>
  <r>
    <x v="4"/>
    <x v="1"/>
    <x v="0"/>
    <x v="0"/>
    <n v="1.2070588235294117"/>
    <s v="RBVA11 - FDO INV IMOB RIO BRAVO RENDA VAREJO - FII"/>
    <s v="15/12/2020"/>
    <s v="Rendimento"/>
    <s v="SANTANDER CORRETORA DE CAMBIO E VALORES MOBILIARIOS S.A"/>
    <n v="1"/>
    <n v="0.95"/>
    <n v="15.2"/>
  </r>
  <r>
    <x v="5"/>
    <x v="1"/>
    <x v="0"/>
    <x v="0"/>
    <n v="1.2070588235294117"/>
    <s v="BCFF11 - FDO INV IMOB - FII BTG PACTUAL FUNDO DE FUNDOS"/>
    <s v="14/12/2020"/>
    <s v="Rendimento"/>
    <s v="SANTANDER CORRETORA DE CAMBIO E VALORES MOBILIARIOS S.A"/>
    <n v="1"/>
    <n v="0.53"/>
    <n v="11.13"/>
  </r>
  <r>
    <x v="6"/>
    <x v="1"/>
    <x v="0"/>
    <x v="0"/>
    <n v="1.2070588235294117"/>
    <s v="BRCR11 - FDO INV IMOB - FII BTG PACTUAL CORPORATE OFFICE FUND"/>
    <s v="14/12/2020"/>
    <s v="Rendimento"/>
    <s v="SANTANDER CORRETORA DE CAMBIO E VALORES MOBILIARIOS S.A"/>
    <n v="1"/>
    <n v="0.5"/>
    <n v="4.49"/>
  </r>
  <r>
    <x v="7"/>
    <x v="1"/>
    <x v="0"/>
    <x v="0"/>
    <n v="1.2070588235294117"/>
    <s v="HGLG11 - CSHG LOGISTICA FUNDO DE INVESTIMENTO IMOBILIARIO - FII"/>
    <s v="14/12/2020"/>
    <s v="Rendimento"/>
    <s v="SANTANDER CORRETORA DE CAMBIO E VALORES MOBILIARIOS S.A"/>
    <n v="1"/>
    <n v="0.78"/>
    <n v="7.8"/>
  </r>
  <r>
    <x v="8"/>
    <x v="1"/>
    <x v="0"/>
    <x v="0"/>
    <n v="1.2070588235294117"/>
    <s v="HGRE11 - CSHG REAL ESTATE FDO INV IMOB - FII"/>
    <s v="14/12/2020"/>
    <s v="Rendimento"/>
    <s v="SANTANDER CORRETORA DE CAMBIO E VALORES MOBILIARIOS S.A"/>
    <n v="1"/>
    <n v="0.65"/>
    <n v="5.2"/>
  </r>
  <r>
    <x v="9"/>
    <x v="1"/>
    <x v="0"/>
    <x v="0"/>
    <n v="1.2070588235294117"/>
    <s v="HGRU11 - CSHG RENDA URBANA - FUNDO DE INVESTIMENTO IMOBILIARIO - FII"/>
    <s v="14/12/2020"/>
    <s v="Rendimento"/>
    <s v="SANTANDER CORRETORA DE CAMBIO E VALORES MOBILIARIOS S.A"/>
    <n v="1"/>
    <n v="0.68"/>
    <n v="9.52"/>
  </r>
  <r>
    <x v="10"/>
    <x v="1"/>
    <x v="0"/>
    <x v="0"/>
    <n v="1.2070588235294117"/>
    <s v="KNRI11 - KINEA RENDA IMOBILIÁRIA FDO INV IMOB - FII"/>
    <s v="14/12/2020"/>
    <s v="Rendimento"/>
    <s v="SANTANDER CORRETORA DE CAMBIO E VALORES MOBILIARIOS S.A"/>
    <n v="1"/>
    <n v="0.65"/>
    <n v="6.5"/>
  </r>
  <r>
    <x v="11"/>
    <x v="1"/>
    <x v="0"/>
    <x v="0"/>
    <n v="1.2070588235294117"/>
    <s v="MXRF11 - MAXI RENDA FUNDO DE INVESTIMENTO IMOBILIARIO - FII"/>
    <s v="14/12/2020"/>
    <s v="Rendimento"/>
    <s v="SANTANDER CORRETORA DE CAMBIO E VALORES MOBILIARIOS S.A"/>
    <n v="1"/>
    <n v="0.06"/>
    <n v="10.92"/>
  </r>
  <r>
    <x v="12"/>
    <x v="1"/>
    <x v="0"/>
    <x v="0"/>
    <n v="1.2070588235294117"/>
    <s v="VILG11 - FII VINCILOG"/>
    <s v="14/12/2020"/>
    <s v="Rendimento"/>
    <s v="SANTANDER CORRETORA DE CAMBIO E VALORES MOBILIARIOS S.A"/>
    <n v="1"/>
    <n v="0.6"/>
    <n v="6"/>
  </r>
  <r>
    <x v="13"/>
    <x v="1"/>
    <x v="0"/>
    <x v="0"/>
    <n v="1.2070588235294117"/>
    <s v="VINO11 - VINCI OFFICES FUNDO DE INVESTIMENTO IMOBILIARIO"/>
    <s v="14/12/2020"/>
    <s v="Rendimento"/>
    <s v="SANTANDER CORRETORA DE CAMBIO E VALORES MOBILIARIOS S.A"/>
    <n v="1"/>
    <n v="0.35"/>
    <n v="11.55"/>
  </r>
  <r>
    <x v="14"/>
    <x v="1"/>
    <x v="0"/>
    <x v="0"/>
    <n v="1.2070588235294117"/>
    <s v="XPLG11 - XP LOG FUNDO DE INVESTIMENTO IMOBILIARIO FII"/>
    <s v="14/12/2020"/>
    <s v="Rendimento"/>
    <s v="SANTANDER CORRETORA DE CAMBIO E VALORES MOBILIARIOS S.A"/>
    <n v="1"/>
    <n v="0.57999999999999996"/>
    <n v="5.8"/>
  </r>
  <r>
    <x v="15"/>
    <x v="1"/>
    <x v="0"/>
    <x v="0"/>
    <n v="1.2070588235294117"/>
    <s v="LVBI11 - FII VBI LOG "/>
    <s v="07/12/2020"/>
    <s v="Rendimento"/>
    <s v="SANTANDER CORRETORA DE CAMBIO E VALORES MOBILIARIOS S.A"/>
    <n v="1"/>
    <n v="0.36"/>
    <n v="3.6"/>
  </r>
  <r>
    <x v="16"/>
    <x v="0"/>
    <x v="1"/>
    <x v="0"/>
    <n v="1.2070588235294117"/>
    <s v="BBAS3 - BANCO DO BRASIL S/A"/>
    <s v="27/11/2020"/>
    <s v="Juros Sobre Capital Próprio"/>
    <s v="SANTANDER CORRETORA DE CAMBIO E VALORES MOBILIARIOS S.A"/>
    <n v="1"/>
    <n v="0.19"/>
    <n v="9.93"/>
  </r>
  <r>
    <x v="5"/>
    <x v="1"/>
    <x v="1"/>
    <x v="0"/>
    <n v="1.2070588235294117"/>
    <s v="BCFF11 - FDO INV IMOB - FII BTG PACTUAL FUNDO DE FUNDOS"/>
    <s v="16/11/2020"/>
    <s v="Rendimento"/>
    <s v="SANTANDER CORRETORA DE CAMBIO E VALORES MOBILIARIOS S.A"/>
    <n v="1"/>
    <n v="0.5"/>
    <n v="5"/>
  </r>
  <r>
    <x v="6"/>
    <x v="1"/>
    <x v="1"/>
    <x v="0"/>
    <n v="1.2070588235294117"/>
    <s v="BRCR11 - FDO INV IMOB - FII BTG PACTUAL CORPORATE OFFICE FUND"/>
    <s v="16/11/2020"/>
    <s v="Rendimento"/>
    <s v="SANTANDER CORRETORA DE CAMBIO E VALORES MOBILIARIOS S.A"/>
    <n v="1"/>
    <n v="0.47"/>
    <n v="2.82"/>
  </r>
  <r>
    <x v="7"/>
    <x v="1"/>
    <x v="1"/>
    <x v="0"/>
    <n v="1.2070588235294117"/>
    <s v="HGLG11 - CSHG LOGISTICA FUNDO DE INVESTIMENTO IMOBILIARIO - FII"/>
    <s v="16/11/2020"/>
    <s v="Rendimento"/>
    <s v="SANTANDER CORRETORA DE CAMBIO E VALORES MOBILIARIOS S.A"/>
    <n v="1"/>
    <n v="0.78"/>
    <n v="7.8"/>
  </r>
  <r>
    <x v="8"/>
    <x v="1"/>
    <x v="1"/>
    <x v="0"/>
    <n v="1.2070588235294117"/>
    <s v="HGRE11 - CSHG REAL ESTATE FDO INV IMOB - FII"/>
    <s v="16/11/2020"/>
    <s v="Rendimento"/>
    <s v="SANTANDER CORRETORA DE CAMBIO E VALORES MOBILIARIOS S.A"/>
    <n v="1"/>
    <n v="0.65"/>
    <n v="1.95"/>
  </r>
  <r>
    <x v="9"/>
    <x v="1"/>
    <x v="1"/>
    <x v="0"/>
    <n v="1.2070588235294117"/>
    <s v="HGRU11 - CSHG RENDA URBANA - FUNDO DE INVESTIMENTO IMOBILIARIO - FII"/>
    <s v="16/11/2020"/>
    <s v="Rendimento"/>
    <s v="SANTANDER CORRETORA DE CAMBIO E VALORES MOBILIARIOS S.A"/>
    <n v="1"/>
    <n v="0.68"/>
    <n v="2.04"/>
  </r>
  <r>
    <x v="10"/>
    <x v="1"/>
    <x v="1"/>
    <x v="0"/>
    <n v="1.2070588235294117"/>
    <s v="KNRI11 - KINEA RENDA IMOBILIÁRIA FDO INV IMOB - FII"/>
    <s v="16/11/2020"/>
    <s v="Rendimento"/>
    <s v="SANTANDER CORRETORA DE CAMBIO E VALORES MOBILIARIOS S.A"/>
    <n v="1"/>
    <n v="0.65"/>
    <n v="6.5"/>
  </r>
  <r>
    <x v="4"/>
    <x v="1"/>
    <x v="1"/>
    <x v="0"/>
    <n v="1.2070588235294117"/>
    <s v="RBVA11 - FDO INV IMOB RIO BRAVO RENDA VAREJO - FII"/>
    <s v="13/11/2020"/>
    <s v="Rendimento"/>
    <s v="SANTANDER CORRETORA DE CAMBIO E VALORES MOBILIARIOS S.A"/>
    <n v="1"/>
    <n v="0.85"/>
    <n v="4.25"/>
  </r>
  <r>
    <x v="17"/>
    <x v="0"/>
    <x v="1"/>
    <x v="0"/>
    <n v="1.2070588235294117"/>
    <s v="TRPL4 - CTEEP - CIA TRANSMISSÃO ENERGIA ELÉTRICA PAULISTA"/>
    <s v="13/11/2020"/>
    <s v="Dividendo"/>
    <s v="SANTANDER CORRETORA DE CAMBIO E VALORES MOBILIARIOS S.A"/>
    <n v="1"/>
    <n v="0.52"/>
    <n v="78.31"/>
  </r>
  <r>
    <x v="14"/>
    <x v="1"/>
    <x v="1"/>
    <x v="0"/>
    <n v="1.2070588235294117"/>
    <s v="XPLG11 - XP LOG FUNDO DE INVESTIMENTO IMOBILIARIO FII"/>
    <s v="13/11/2020"/>
    <s v="Rendimento"/>
    <s v="SANTANDER CORRETORA DE CAMBIO E VALORES MOBILIARIOS S.A"/>
    <n v="1"/>
    <n v="0.57999999999999996"/>
    <n v="5.8"/>
  </r>
  <r>
    <x v="15"/>
    <x v="1"/>
    <x v="1"/>
    <x v="0"/>
    <n v="1.2070588235294117"/>
    <s v="LVBI11 - FII VBI LOG "/>
    <s v="09/11/2020"/>
    <s v="Rendimento"/>
    <s v="SANTANDER CORRETORA DE CAMBIO E VALORES MOBILIARIOS S.A"/>
    <n v="1"/>
    <n v="0.31"/>
    <n v="3.1"/>
  </r>
  <r>
    <x v="10"/>
    <x v="1"/>
    <x v="2"/>
    <x v="0"/>
    <n v="1.2070588235294117"/>
    <s v="KNRI11 - KINEA RENDA IMOBILIÁRIA FDO INV IMOB - FII"/>
    <s v="15/10/2020"/>
    <s v="Rendimento"/>
    <s v="SANTANDER CORRETORA DE CAMBIO E VALORES MOBILIARIOS S.A"/>
    <n v="1"/>
    <n v="0.65"/>
    <n v="6.5"/>
  </r>
  <r>
    <x v="15"/>
    <x v="1"/>
    <x v="2"/>
    <x v="0"/>
    <n v="1.2070588235294117"/>
    <s v="LVBI11 - FII VBI LOG "/>
    <s v="07/10/2020"/>
    <s v="Rendimento"/>
    <s v="SANTANDER CORRETORA DE CAMBIO E VALORES MOBILIARIOS S.A"/>
    <n v="1"/>
    <n v="0.66"/>
    <n v="6.6"/>
  </r>
  <r>
    <x v="16"/>
    <x v="0"/>
    <x v="3"/>
    <x v="0"/>
    <n v="1.2070588235294117"/>
    <s v="BBAS3 - BANCO DO BRASIL S/A"/>
    <s v="30/09/2020"/>
    <s v="Juros Sobre Capital Próprio"/>
    <s v="SANTANDER CORRETORA DE CAMBIO E VALORES MOBILIARIOS S.A"/>
    <n v="1"/>
    <n v="0.1"/>
    <n v="1.75"/>
  </r>
  <r>
    <x v="2"/>
    <x v="0"/>
    <x v="3"/>
    <x v="0"/>
    <n v="1.2070588235294117"/>
    <s v="SANB4 - BANCO SANTANDER (BRASIL) S.A."/>
    <s v="25/09/2020"/>
    <s v="Juros Sobre Capital Próprio"/>
    <s v="SANTANDER CORRETORA DE CAMBIO E VALORES MOBILIARIOS S.A"/>
    <n v="1"/>
    <n v="0.11"/>
    <n v="9.1999999999999993"/>
  </r>
  <r>
    <x v="10"/>
    <x v="1"/>
    <x v="3"/>
    <x v="0"/>
    <n v="1.2070588235294117"/>
    <s v="KNRI11 - KINEA RENDA IMOBILIÁRIA FDO INV IMOB - FII"/>
    <s v="15/09/2020"/>
    <s v="Rendimento"/>
    <s v="SANTANDER CORRETORA DE CAMBIO E VALORES MOBILIARIOS S.A"/>
    <n v="1"/>
    <n v="0.65"/>
    <n v="6.5"/>
  </r>
  <r>
    <x v="11"/>
    <x v="1"/>
    <x v="3"/>
    <x v="0"/>
    <n v="1.2070588235294117"/>
    <s v="MXRF11 - MAXI RENDA FUNDO DE INVESTIMENTO IMOBILIARIO - FII"/>
    <s v="15/09/2020"/>
    <s v="Rendimento"/>
    <s v="SANTANDER CORRETORA DE CAMBIO E VALORES MOBILIARIOS S.A"/>
    <n v="1"/>
    <n v="7.0000000000000007E-2"/>
    <n v="7.07"/>
  </r>
  <r>
    <x v="13"/>
    <x v="1"/>
    <x v="3"/>
    <x v="0"/>
    <n v="1.2070588235294117"/>
    <s v="VINO11 - VINCI OFFICES FUNDO DE INVESTIMENTO IMOBILIARIO"/>
    <s v="15/09/2020"/>
    <s v="Rendimento"/>
    <s v="SANTANDER CORRETORA DE CAMBIO E VALORES MOBILIARIOS S.A"/>
    <n v="1"/>
    <n v="0.35"/>
    <n v="4.2"/>
  </r>
  <r>
    <x v="16"/>
    <x v="0"/>
    <x v="4"/>
    <x v="0"/>
    <n v="1.2070588235294117"/>
    <s v="BBAS3 - BANCO DO BRASIL S/A"/>
    <s v="31/08/2020"/>
    <s v="Rendimento"/>
    <s v="SANTANDER CORRETORA DE CAMBIO E VALORES MOBILIARIOS S.A"/>
    <n v="1"/>
    <n v="0"/>
    <n v="0.03"/>
  </r>
  <r>
    <x v="16"/>
    <x v="0"/>
    <x v="4"/>
    <x v="0"/>
    <n v="1.2070588235294117"/>
    <s v="BBAS3 - BANCO DO BRASIL S/A"/>
    <s v="31/08/2020"/>
    <s v="Juros Sobre Capital Próprio"/>
    <s v="SANTANDER CORRETORA DE CAMBIO E VALORES MOBILIARIOS S.A"/>
    <n v="1"/>
    <n v="0.44"/>
    <n v="7.49"/>
  </r>
  <r>
    <x v="1"/>
    <x v="0"/>
    <x v="4"/>
    <x v="0"/>
    <n v="1.2070588235294117"/>
    <s v="TAEE4 - TRANSMISSORA ALIANCA DE ENERGIA ELETRICA S/A"/>
    <s v="26/08/2020"/>
    <s v="Dividendo"/>
    <s v="SANTANDER CORRETORA DE CAMBIO E VALORES MOBILIARIOS S.A"/>
    <n v="1"/>
    <n v="0.21"/>
    <n v="64.010000000000005"/>
  </r>
  <r>
    <x v="7"/>
    <x v="1"/>
    <x v="4"/>
    <x v="0"/>
    <n v="1.2070588235294117"/>
    <s v="HGLG11 - CSHG LOGISTICA FUNDO DE INVESTIMENTO IMOBILIARIO - FII"/>
    <s v="14/08/2020"/>
    <s v="Rendimento"/>
    <s v="SANTANDER CORRETORA DE CAMBIO E VALORES MOBILIARIOS S.A"/>
    <n v="1"/>
    <n v="0.78"/>
    <n v="7.8"/>
  </r>
  <r>
    <x v="13"/>
    <x v="1"/>
    <x v="4"/>
    <x v="0"/>
    <n v="1.2070588235294117"/>
    <s v="VINO11 - VINCI OFFICES FUNDO DE INVESTIMENTO IMOBILIARIO"/>
    <s v="14/08/2020"/>
    <s v="Rendimento"/>
    <s v="SANTANDER CORRETORA DE CAMBIO E VALORES MOBILIARIOS S.A"/>
    <n v="1"/>
    <n v="0.36"/>
    <n v="4.32"/>
  </r>
  <r>
    <x v="3"/>
    <x v="1"/>
    <x v="5"/>
    <x v="0"/>
    <n v="1.2070588235294117"/>
    <s v="XPML11 - XP MALLS FDO INV IMOB FII"/>
    <s v="24/07/2020"/>
    <s v="Rendimento"/>
    <s v="SANTANDER CORRETORA DE CAMBIO E VALORES MOBILIARIOS S.A"/>
    <n v="1"/>
    <n v="0.42"/>
    <n v="0.83"/>
  </r>
  <r>
    <x v="17"/>
    <x v="0"/>
    <x v="5"/>
    <x v="0"/>
    <n v="1.2070588235294117"/>
    <s v="TRPL4 - CTEEP - CIA TRANSMISSÃO ENERGIA ELÉTRICA PAULISTA"/>
    <s v="16/07/2020"/>
    <s v="Dividendo"/>
    <s v="SANTANDER CORRETORA DE CAMBIO E VALORES MOBILIARIOS S.A"/>
    <n v="1"/>
    <n v="0.15"/>
    <n v="15.17"/>
  </r>
  <r>
    <x v="5"/>
    <x v="1"/>
    <x v="5"/>
    <x v="0"/>
    <n v="1.2070588235294117"/>
    <s v="BCFF11 - FDO INV IMOB - FII BTG PACTUAL FUNDO DE FUNDOS"/>
    <s v="14/07/2020"/>
    <s v="Rendimento"/>
    <s v="SANTANDER CORRETORA DE CAMBIO E VALORES MOBILIARIOS S.A"/>
    <n v="1"/>
    <n v="0.4"/>
    <n v="1.2"/>
  </r>
  <r>
    <x v="12"/>
    <x v="1"/>
    <x v="5"/>
    <x v="0"/>
    <n v="1.2070588235294117"/>
    <s v="VILG11 - FII VINCILOG"/>
    <s v="14/07/2020"/>
    <s v="Rendimento"/>
    <s v="SANTANDER CORRETORA DE CAMBIO E VALORES MOBILIARIOS S.A"/>
    <n v="1"/>
    <n v="0.6"/>
    <n v="2.4"/>
  </r>
  <r>
    <x v="3"/>
    <x v="1"/>
    <x v="6"/>
    <x v="0"/>
    <n v="1.2070588235294117"/>
    <s v="XPML11 - XP MALLS FDO INV IMOB FII"/>
    <s v="25/06/2020"/>
    <s v="Rendimento"/>
    <s v="SANTANDER CORRETORA DE CAMBIO E VALORES MOBILIARIOS S.A"/>
    <n v="1"/>
    <n v="0.27"/>
    <n v="0.54"/>
  </r>
  <r>
    <x v="12"/>
    <x v="1"/>
    <x v="6"/>
    <x v="0"/>
    <n v="1.2070588235294117"/>
    <s v="VILG11 - FII VINCILOG"/>
    <s v="15/06/2020"/>
    <s v="Rendimento"/>
    <s v="SANTANDER CORRETORA DE CAMBIO E VALORES MOBILIARIOS S.A"/>
    <n v="1"/>
    <n v="0.52"/>
    <n v="1.04"/>
  </r>
  <r>
    <x v="14"/>
    <x v="1"/>
    <x v="7"/>
    <x v="0"/>
    <n v="1.2070588235294117"/>
    <s v="XPLG11 - XP LOG FUNDO DE INVESTIMENTO IMOBILIARIO FII"/>
    <s v="14/04/2020"/>
    <s v="Rendimento"/>
    <s v="SANTANDER CORRETORA DE CAMBIO E VALORES MOBILIARIOS S.A"/>
    <n v="1"/>
    <n v="0.57999999999999996"/>
    <n v="1.1599999999999999"/>
  </r>
  <r>
    <x v="14"/>
    <x v="1"/>
    <x v="7"/>
    <x v="0"/>
    <n v="1.2070588235294117"/>
    <s v="XPLG11 - XP LOG FUNDO DE INVESTIMENTO IMOBILIARIO FII"/>
    <s v="14/04/2020"/>
    <s v="Rendimento"/>
    <s v="SANTANDER CORRETORA DE CAMBIO E VALORES MOBILIARIOS S.A"/>
    <n v="1"/>
    <n v="0.57999999999999996"/>
    <n v="0.57999999999999996"/>
  </r>
  <r>
    <x v="14"/>
    <x v="1"/>
    <x v="8"/>
    <x v="0"/>
    <n v="1.2070588235294117"/>
    <s v="XPLG11 - XP LOG FUNDO DE INVESTIMENTO IMOBILIARIO FII"/>
    <s v="13/03/2020"/>
    <s v="Rendimento"/>
    <s v="SANTANDER CORRETORA DE CAMBIO E VALORES MOBILIARIOS S.A"/>
    <n v="1"/>
    <n v="0.64"/>
    <n v="1.28"/>
  </r>
  <r>
    <x v="14"/>
    <x v="1"/>
    <x v="8"/>
    <x v="0"/>
    <n v="1.2070588235294117"/>
    <s v="XPLG11 - XP LOG FUNDO DE INVESTIMENTO IMOBILIARIO FII"/>
    <s v="13/03/2020"/>
    <s v="Rendimento"/>
    <s v="SANTANDER CORRETORA DE CAMBIO E VALORES MOBILIARIOS S.A"/>
    <n v="1"/>
    <n v="0.64"/>
    <n v="0.64"/>
  </r>
  <r>
    <x v="15"/>
    <x v="1"/>
    <x v="8"/>
    <x v="0"/>
    <n v="1.2070588235294117"/>
    <s v="LVBI11 - FII VBI LOG "/>
    <s v="06/03/2020"/>
    <s v="Rendimento"/>
    <s v="SANTANDER CORRETORA DE CAMBIO E VALORES MOBILIARIOS S.A"/>
    <n v="1"/>
    <n v="0.64"/>
    <n v="0.64"/>
  </r>
  <r>
    <x v="3"/>
    <x v="1"/>
    <x v="9"/>
    <x v="0"/>
    <n v="1.2070588235294117"/>
    <s v="XPML11 - XP MALLS FDO INV IMOB FII"/>
    <s v="21/02/2020"/>
    <s v="Rendimento"/>
    <s v="SANTANDER CORRETORA DE CAMBIO E VALORES MOBILIARIOS S.A"/>
    <n v="1"/>
    <n v="0.5"/>
    <n v="1"/>
  </r>
  <r>
    <x v="14"/>
    <x v="1"/>
    <x v="9"/>
    <x v="0"/>
    <n v="1.2070588235294117"/>
    <s v="XPLG11 - XP LOG FUNDO DE INVESTIMENTO IMOBILIARIO FII"/>
    <s v="14/02/2020"/>
    <s v="Rendimento"/>
    <s v="SANTANDER CORRETORA DE CAMBIO E VALORES MOBILIARIOS S.A"/>
    <n v="1"/>
    <n v="0.64"/>
    <n v="0.64"/>
  </r>
  <r>
    <x v="18"/>
    <x v="0"/>
    <x v="0"/>
    <x v="1"/>
    <n v="1.2070588235294117"/>
    <s v="B3SA3 - B3 S.A. – BRASIL, BOLSA, BALCÃO"/>
    <s v="30/12/2021"/>
    <s v="Dividendo"/>
    <s v="SANTANDER CORRETORA DE CAMBIO E VALORES MOBILIARIOS S.A"/>
    <n v="1"/>
    <n v="0.15"/>
    <n v="55.29"/>
  </r>
  <r>
    <x v="16"/>
    <x v="0"/>
    <x v="0"/>
    <x v="1"/>
    <n v="1.2070588235294117"/>
    <s v="BBAS3 - BANCO DO BRASIL S/A"/>
    <s v="30/12/2021"/>
    <s v="Juros Sobre Capital Próprio"/>
    <s v="SANTANDER CORRETORA DE CAMBIO E VALORES MOBILIARIOS S.A"/>
    <n v="1"/>
    <n v="0.17"/>
    <n v="39.86"/>
  </r>
  <r>
    <x v="0"/>
    <x v="0"/>
    <x v="0"/>
    <x v="1"/>
    <n v="1.2070588235294117"/>
    <s v="CMIG3 - CIA. ENERGETICA DE MINAS GERAIS- CEMIG"/>
    <s v="29/12/2021"/>
    <s v="Juros Sobre Capital Próprio"/>
    <s v="SANTANDER CORRETORA DE CAMBIO E VALORES MOBILIARIOS S.A"/>
    <n v="1"/>
    <n v="0.04"/>
    <n v="3.5"/>
  </r>
  <r>
    <x v="0"/>
    <x v="0"/>
    <x v="0"/>
    <x v="1"/>
    <n v="1.2070588235294117"/>
    <s v="CMIG3 - CIA. ENERGETICA DE MINAS GERAIS- CEMIG"/>
    <s v="29/12/2021"/>
    <s v="Juros Sobre Capital Próprio"/>
    <s v="SANTANDER CORRETORA DE CAMBIO E VALORES MOBILIARIOS S.A"/>
    <n v="1"/>
    <n v="0.14000000000000001"/>
    <n v="12.62"/>
  </r>
  <r>
    <x v="0"/>
    <x v="0"/>
    <x v="0"/>
    <x v="1"/>
    <n v="1.2070588235294117"/>
    <s v="CMIG3 - CIA. ENERGETICA DE MINAS GERAIS- CEMIG"/>
    <s v="29/12/2021"/>
    <s v="Dividendo"/>
    <s v="SANTANDER CORRETORA DE CAMBIO E VALORES MOBILIARIOS S.A"/>
    <n v="1"/>
    <n v="0.31"/>
    <n v="31.8"/>
  </r>
  <r>
    <x v="1"/>
    <x v="0"/>
    <x v="0"/>
    <x v="1"/>
    <n v="1.2070588235294117"/>
    <s v="TAEE4 - TRANSMISSORA ALIANCA DE ENERGIA ELETRICA S/A"/>
    <s v="29/12/2021"/>
    <s v="Juros Sobre Capital Próprio"/>
    <s v="SANTANDER CORRETORA DE CAMBIO E VALORES MOBILIARIOS S.A"/>
    <n v="1"/>
    <n v="0.2"/>
    <n v="106.17"/>
  </r>
  <r>
    <x v="1"/>
    <x v="0"/>
    <x v="0"/>
    <x v="1"/>
    <n v="1.2070588235294117"/>
    <s v="TAEE4 - TRANSMISSORA ALIANCA DE ENERGIA ELETRICA S/A"/>
    <s v="29/12/2021"/>
    <s v="Dividendo"/>
    <s v="SANTANDER CORRETORA DE CAMBIO E VALORES MOBILIARIOS S.A"/>
    <n v="1"/>
    <n v="0.31"/>
    <n v="198.46"/>
  </r>
  <r>
    <x v="19"/>
    <x v="1"/>
    <x v="0"/>
    <x v="1"/>
    <n v="1.2070588235294117"/>
    <s v="ALZR11 - ALIANZA TRUST RENDA IMOBILIARIA - FUNDO DE INVESTIMENTO IMOBILIARIO"/>
    <s v="23/12/2021"/>
    <s v="Rendimento"/>
    <s v="SANTANDER CORRETORA DE CAMBIO E VALORES MOBILIARIOS S.A"/>
    <n v="1"/>
    <n v="0.65"/>
    <n v="23.49"/>
  </r>
  <r>
    <x v="20"/>
    <x v="1"/>
    <x v="0"/>
    <x v="1"/>
    <n v="1.2070588235294117"/>
    <s v="BTLG11 - BTG PACTUAL LOGISTICA FUNDO DE INVESTIMENTO IMOBILIARIO"/>
    <s v="23/12/2021"/>
    <s v="Rendimento"/>
    <s v="SANTANDER CORRETORA DE CAMBIO E VALORES MOBILIARIOS S.A"/>
    <n v="1"/>
    <n v="0.72"/>
    <n v="46.08"/>
  </r>
  <r>
    <x v="3"/>
    <x v="1"/>
    <x v="0"/>
    <x v="1"/>
    <n v="1.2070588235294117"/>
    <s v="XPML11 - XP MALLS FDO INV IMOB FII"/>
    <s v="23/12/2021"/>
    <s v="Rendimento"/>
    <s v="SANTANDER CORRETORA DE CAMBIO E VALORES MOBILIARIOS S.A"/>
    <n v="1"/>
    <n v="0.55000000000000004"/>
    <n v="18.7"/>
  </r>
  <r>
    <x v="21"/>
    <x v="1"/>
    <x v="0"/>
    <x v="1"/>
    <n v="1.2070588235294117"/>
    <s v="IRDM11 - FII IRIDIUM RECEBIVEIS IMOBILIARIOS"/>
    <s v="16/12/2021"/>
    <s v="Rendimento"/>
    <s v="SANTANDER CORRETORA DE CAMBIO E VALORES MOBILIARIOS S.A"/>
    <n v="1"/>
    <n v="1.1299999999999999"/>
    <n v="43.97"/>
  </r>
  <r>
    <x v="4"/>
    <x v="1"/>
    <x v="0"/>
    <x v="1"/>
    <n v="1.2070588235294117"/>
    <s v="RBVA11 - FDO INV IMOB RIO BRAVO RENDA VAREJO - FII"/>
    <s v="15/12/2021"/>
    <s v="Rendimento"/>
    <s v="SANTANDER CORRETORA DE CAMBIO E VALORES MOBILIARIOS S.A"/>
    <n v="1"/>
    <n v="0.91"/>
    <n v="40.04"/>
  </r>
  <r>
    <x v="5"/>
    <x v="1"/>
    <x v="0"/>
    <x v="1"/>
    <n v="1.2070588235294117"/>
    <s v="BCFF11 - FDO INV IMOB - FII BTG PACTUAL FUNDO DE FUNDOS"/>
    <s v="14/12/2021"/>
    <s v="Rendimento"/>
    <s v="SANTANDER CORRETORA DE CAMBIO E VALORES MOBILIARIOS S.A"/>
    <n v="1"/>
    <n v="0.5"/>
    <n v="27.5"/>
  </r>
  <r>
    <x v="6"/>
    <x v="1"/>
    <x v="0"/>
    <x v="1"/>
    <n v="1.2070588235294117"/>
    <s v="BRCR11 - FDO INV IMOB - FII BTG PACTUAL CORPORATE OFFICE FUND"/>
    <s v="14/12/2021"/>
    <s v="Rendimento"/>
    <s v="SANTANDER CORRETORA DE CAMBIO E VALORES MOBILIARIOS S.A"/>
    <n v="1"/>
    <n v="0.5"/>
    <n v="25"/>
  </r>
  <r>
    <x v="22"/>
    <x v="1"/>
    <x v="0"/>
    <x v="1"/>
    <n v="1.2070588235294117"/>
    <s v="HCTR11 - HECTARE CE - FUNDO DE INVESTIMENTO IMOBILIÁRIO"/>
    <s v="14/12/2021"/>
    <s v="Rendimento"/>
    <s v="SANTANDER CORRETORA DE CAMBIO E VALORES MOBILIARIOS S.A"/>
    <n v="1"/>
    <n v="1.6"/>
    <n v="75.2"/>
  </r>
  <r>
    <x v="7"/>
    <x v="1"/>
    <x v="0"/>
    <x v="1"/>
    <n v="1.2070588235294117"/>
    <s v="HGLG11 - CSHG LOGISTICA FUNDO DE INVESTIMENTO IMOBILIARIO - FII"/>
    <s v="14/12/2021"/>
    <s v="Rendimento"/>
    <s v="SANTANDER CORRETORA DE CAMBIO E VALORES MOBILIARIOS S.A"/>
    <n v="1"/>
    <n v="1.1000000000000001"/>
    <n v="23.1"/>
  </r>
  <r>
    <x v="8"/>
    <x v="1"/>
    <x v="0"/>
    <x v="1"/>
    <n v="1.2070588235294117"/>
    <s v="HGRE11 - CSHG REAL ESTATE FDO INV IMOB - FII"/>
    <s v="14/12/2021"/>
    <s v="Rendimento"/>
    <s v="SANTANDER CORRETORA DE CAMBIO E VALORES MOBILIARIOS S.A"/>
    <n v="1"/>
    <n v="0.69"/>
    <n v="16.559999999999999"/>
  </r>
  <r>
    <x v="9"/>
    <x v="1"/>
    <x v="0"/>
    <x v="1"/>
    <n v="1.2070588235294117"/>
    <s v="HGRU11 - CSHG RENDA URBANA - FUNDO DE INVESTIMENTO IMOBILIARIO - FII"/>
    <s v="14/12/2021"/>
    <s v="Rendimento"/>
    <s v="SANTANDER CORRETORA DE CAMBIO E VALORES MOBILIARIOS S.A"/>
    <n v="1"/>
    <n v="0.72"/>
    <n v="23.76"/>
  </r>
  <r>
    <x v="10"/>
    <x v="1"/>
    <x v="0"/>
    <x v="1"/>
    <n v="1.2070588235294117"/>
    <s v="KNRI11 - KINEA RENDA IMOBILIÁRIA FDO INV IMOB - FII"/>
    <s v="14/12/2021"/>
    <s v="Rendimento"/>
    <s v="SANTANDER CORRETORA DE CAMBIO E VALORES MOBILIARIOS S.A"/>
    <n v="1"/>
    <n v="0.77"/>
    <n v="10.01"/>
  </r>
  <r>
    <x v="11"/>
    <x v="1"/>
    <x v="0"/>
    <x v="1"/>
    <n v="1.2070588235294117"/>
    <s v="MXRF11 - MAXI RENDA FUNDO DE INVESTIMENTO IMOBILIARIO - FII"/>
    <s v="14/12/2021"/>
    <s v="Rendimento"/>
    <s v="SANTANDER CORRETORA DE CAMBIO E VALORES MOBILIARIOS S.A"/>
    <n v="1"/>
    <n v="0.08"/>
    <n v="50.4"/>
  </r>
  <r>
    <x v="12"/>
    <x v="1"/>
    <x v="0"/>
    <x v="1"/>
    <n v="1.2070588235294117"/>
    <s v="VILG11 - FII VINCI LG"/>
    <s v="14/12/2021"/>
    <s v="Rendimento"/>
    <s v="SANTANDER CORRETORA DE CAMBIO E VALORES MOBILIARIOS S.A"/>
    <n v="1"/>
    <n v="0.64"/>
    <n v="7.68"/>
  </r>
  <r>
    <x v="13"/>
    <x v="1"/>
    <x v="0"/>
    <x v="1"/>
    <n v="1.2070588235294117"/>
    <s v="VINO11 - VINCI OFFICES FUNDO DE INVESTIMENTO IMOBILIARIO"/>
    <s v="14/12/2021"/>
    <s v="Rendimento"/>
    <s v="SANTANDER CORRETORA DE CAMBIO E VALORES MOBILIARIOS S.A"/>
    <n v="1"/>
    <n v="0.55000000000000004"/>
    <n v="40.700000000000003"/>
  </r>
  <r>
    <x v="14"/>
    <x v="1"/>
    <x v="0"/>
    <x v="1"/>
    <n v="1.2070588235294117"/>
    <s v="XPLG11 - XP LOG FUNDO DE INVESTIMENTO IMOBILIARIO FII"/>
    <s v="14/12/2021"/>
    <s v="Rendimento"/>
    <s v="SANTANDER CORRETORA DE CAMBIO E VALORES MOBILIARIOS S.A"/>
    <n v="1"/>
    <n v="0.64"/>
    <n v="51.84"/>
  </r>
  <r>
    <x v="15"/>
    <x v="1"/>
    <x v="0"/>
    <x v="1"/>
    <n v="1.2070588235294117"/>
    <s v="LVBI11 - FII VBI LOG "/>
    <s v="07/12/2021"/>
    <s v="Rendimento"/>
    <s v="SANTANDER CORRETORA DE CAMBIO E VALORES MOBILIARIOS S.A"/>
    <n v="1"/>
    <n v="0.7"/>
    <n v="14"/>
  </r>
  <r>
    <x v="2"/>
    <x v="0"/>
    <x v="0"/>
    <x v="1"/>
    <n v="1.2070588235294117"/>
    <s v="SANB4 - BANCO SANTANDER (BRASIL) S.A."/>
    <s v="03/12/2021"/>
    <s v="Dividendo"/>
    <s v="SANTANDER CORRETORA DE CAMBIO E VALORES MOBILIARIOS S.A"/>
    <n v="1"/>
    <n v="0.42"/>
    <n v="88.88"/>
  </r>
  <r>
    <x v="19"/>
    <x v="1"/>
    <x v="1"/>
    <x v="1"/>
    <n v="1.2070588235294117"/>
    <s v="ALZR11 - ALIANZA TRUST RENDA IMOBILIARIA - FUNDO DE INVESTIMENTO IMOBILIARIO"/>
    <s v="25/11/2021"/>
    <s v="Rendimento"/>
    <s v="SANTANDER CORRETORA DE CAMBIO E VALORES MOBILIARIOS S.A"/>
    <n v="1"/>
    <n v="0.64"/>
    <n v="4.46"/>
  </r>
  <r>
    <x v="20"/>
    <x v="1"/>
    <x v="1"/>
    <x v="1"/>
    <n v="1.2070588235294117"/>
    <s v="BTLG11 - BTG PACTUAL LOGISTICA FUNDO DE INVESTIMENTO IMOBILIARIO"/>
    <s v="25/11/2021"/>
    <s v="Rendimento"/>
    <s v="SANTANDER CORRETORA DE CAMBIO E VALORES MOBILIARIOS S.A"/>
    <n v="1"/>
    <n v="0.72"/>
    <n v="32.4"/>
  </r>
  <r>
    <x v="3"/>
    <x v="1"/>
    <x v="1"/>
    <x v="1"/>
    <n v="1.2070588235294117"/>
    <s v="XPML11 - XP MALLS FDO INV IMOB FII"/>
    <s v="25/11/2021"/>
    <s v="Rendimento"/>
    <s v="SANTANDER CORRETORA DE CAMBIO E VALORES MOBILIARIOS S.A"/>
    <n v="1"/>
    <n v="0.5"/>
    <n v="17"/>
  </r>
  <r>
    <x v="21"/>
    <x v="1"/>
    <x v="1"/>
    <x v="1"/>
    <n v="1.2070588235294117"/>
    <s v="IRDM11 - FII IRIDIUM RECEBIVEIS IMOBILIARIOS"/>
    <s v="18/11/2021"/>
    <s v="Rendimento"/>
    <s v="SANTANDER CORRETORA DE CAMBIO E VALORES MOBILIARIOS S.A"/>
    <n v="1"/>
    <n v="1.37"/>
    <n v="20.48"/>
  </r>
  <r>
    <x v="17"/>
    <x v="0"/>
    <x v="1"/>
    <x v="1"/>
    <n v="1.2070588235294117"/>
    <s v="TRPL4 - CTEEP - CIA TRANSMISSÃO ENERGIA ELÉTRICA PAULISTA"/>
    <s v="17/11/2021"/>
    <s v="Dividendo"/>
    <s v="SANTANDER CORRETORA DE CAMBIO E VALORES MOBILIARIOS S.A"/>
    <n v="1"/>
    <n v="0.53"/>
    <n v="105.87"/>
  </r>
  <r>
    <x v="5"/>
    <x v="1"/>
    <x v="1"/>
    <x v="1"/>
    <n v="1.2070588235294117"/>
    <s v="BCFF11 - FDO INV IMOB - FII BTG PACTUAL FUNDO DE FUNDOS"/>
    <s v="16/11/2021"/>
    <s v="Rendimento"/>
    <s v="SANTANDER CORRETORA DE CAMBIO E VALORES MOBILIARIOS S.A"/>
    <n v="1"/>
    <n v="0.5"/>
    <n v="20"/>
  </r>
  <r>
    <x v="22"/>
    <x v="1"/>
    <x v="1"/>
    <x v="1"/>
    <n v="1.2070588235294117"/>
    <s v="HCTR11 - HECTARE CE - FUNDO DE INVESTIMENTO IMOBILIÁRIO"/>
    <s v="16/11/2021"/>
    <s v="Rendimento"/>
    <s v="SANTANDER CORRETORA DE CAMBIO E VALORES MOBILIARIOS S.A"/>
    <n v="1"/>
    <n v="1.6"/>
    <n v="75.2"/>
  </r>
  <r>
    <x v="7"/>
    <x v="1"/>
    <x v="1"/>
    <x v="1"/>
    <n v="1.2070588235294117"/>
    <s v="HGLG11 - CSHG LOGISTICA FUNDO DE INVESTIMENTO IMOBILIARIO - FII"/>
    <s v="16/11/2021"/>
    <s v="Rendimento"/>
    <s v="SANTANDER CORRETORA DE CAMBIO E VALORES MOBILIARIOS S.A"/>
    <n v="1"/>
    <n v="1.1000000000000001"/>
    <n v="23.1"/>
  </r>
  <r>
    <x v="9"/>
    <x v="1"/>
    <x v="1"/>
    <x v="1"/>
    <n v="1.2070588235294117"/>
    <s v="HGRU11 - CSHG RENDA URBANA - FUNDO DE INVESTIMENTO IMOBILIARIO - FII"/>
    <s v="16/11/2021"/>
    <s v="Rendimento"/>
    <s v="SANTANDER CORRETORA DE CAMBIO E VALORES MOBILIARIOS S.A"/>
    <n v="1"/>
    <n v="0.72"/>
    <n v="23.76"/>
  </r>
  <r>
    <x v="10"/>
    <x v="1"/>
    <x v="1"/>
    <x v="1"/>
    <n v="1.2070588235294117"/>
    <s v="KNRI11 - KINEA RENDA IMOBILIÁRIA FDO INV IMOB - FII"/>
    <s v="16/11/2021"/>
    <s v="Rendimento"/>
    <s v="SANTANDER CORRETORA DE CAMBIO E VALORES MOBILIARIOS S.A"/>
    <n v="1"/>
    <n v="0.77"/>
    <n v="10.01"/>
  </r>
  <r>
    <x v="11"/>
    <x v="1"/>
    <x v="1"/>
    <x v="1"/>
    <n v="1.2070588235294117"/>
    <s v="MXRF11 - MAXI RENDA FUNDO DE INVESTIMENTO IMOBILIARIO - FII"/>
    <s v="16/11/2021"/>
    <s v="Rendimento"/>
    <s v="SANTANDER CORRETORA DE CAMBIO E VALORES MOBILIARIOS S.A"/>
    <n v="1"/>
    <n v="0.09"/>
    <n v="56.7"/>
  </r>
  <r>
    <x v="12"/>
    <x v="1"/>
    <x v="1"/>
    <x v="1"/>
    <n v="1.2070588235294117"/>
    <s v="VILG11 - FII VINCI LG"/>
    <s v="16/11/2021"/>
    <s v="Rendimento"/>
    <s v="SANTANDER CORRETORA DE CAMBIO E VALORES MOBILIARIOS S.A"/>
    <n v="1"/>
    <n v="0.64"/>
    <n v="7.68"/>
  </r>
  <r>
    <x v="13"/>
    <x v="1"/>
    <x v="1"/>
    <x v="1"/>
    <n v="1.2070588235294117"/>
    <s v="VINO11 - VINCI OFFICES FUNDO DE INVESTIMENTO IMOBILIARIO"/>
    <s v="16/11/2021"/>
    <s v="Rendimento"/>
    <s v="SANTANDER CORRETORA DE CAMBIO E VALORES MOBILIARIOS S.A"/>
    <n v="1"/>
    <n v="0.54"/>
    <n v="39.96"/>
  </r>
  <r>
    <x v="14"/>
    <x v="1"/>
    <x v="1"/>
    <x v="1"/>
    <n v="1.2070588235294117"/>
    <s v="XPLG11 - XP LOG FUNDO DE INVESTIMENTO IMOBILIARIO FII"/>
    <s v="16/11/2021"/>
    <s v="Rendimento"/>
    <s v="SANTANDER CORRETORA DE CAMBIO E VALORES MOBILIARIOS S.A"/>
    <n v="1"/>
    <n v="0.64"/>
    <n v="46.08"/>
  </r>
  <r>
    <x v="4"/>
    <x v="1"/>
    <x v="1"/>
    <x v="1"/>
    <n v="1.2070588235294117"/>
    <s v="RBVA11 - FDO INV IMOB RIO BRAVO RENDA VAREJO - FII"/>
    <s v="12/11/2021"/>
    <s v="Rendimento"/>
    <s v="SANTANDER CORRETORA DE CAMBIO E VALORES MOBILIARIOS S.A"/>
    <n v="1"/>
    <n v="0.99"/>
    <n v="43.56"/>
  </r>
  <r>
    <x v="15"/>
    <x v="1"/>
    <x v="1"/>
    <x v="1"/>
    <n v="1.2070588235294117"/>
    <s v="LVBI11 - FII VBI LOG "/>
    <s v="08/11/2021"/>
    <s v="Rendimento"/>
    <s v="SANTANDER CORRETORA DE CAMBIO E VALORES MOBILIARIOS S.A"/>
    <n v="1"/>
    <n v="0.67"/>
    <n v="13.4"/>
  </r>
  <r>
    <x v="19"/>
    <x v="1"/>
    <x v="2"/>
    <x v="1"/>
    <n v="1.2070588235294117"/>
    <s v="ALZR11 - ALIANZA TRUST RENDA IMOBILIARIA - FUNDO DE INVESTIMENTO IMOBILIARIO"/>
    <s v="25/10/2021"/>
    <s v="Rendimento"/>
    <s v="SANTANDER CORRETORA DE CAMBIO E VALORES MOBILIARIOS S.A"/>
    <n v="1"/>
    <n v="0.62"/>
    <n v="4.33"/>
  </r>
  <r>
    <x v="20"/>
    <x v="1"/>
    <x v="2"/>
    <x v="1"/>
    <n v="1.2070588235294117"/>
    <s v="BTLG11 - BTG PACTUAL LOGISTICA FUNDO DE INVESTIMENTO IMOBILIARIO"/>
    <s v="25/10/2021"/>
    <s v="Rendimento"/>
    <s v="SANTANDER CORRETORA DE CAMBIO E VALORES MOBILIARIOS S.A"/>
    <n v="1"/>
    <n v="0.72"/>
    <n v="32.4"/>
  </r>
  <r>
    <x v="3"/>
    <x v="1"/>
    <x v="2"/>
    <x v="1"/>
    <n v="1.2070588235294117"/>
    <s v="XPML11 - XP MALLS FDO INV IMOB FII"/>
    <s v="25/10/2021"/>
    <s v="Rendimento"/>
    <s v="SANTANDER CORRETORA DE CAMBIO E VALORES MOBILIARIOS S.A"/>
    <n v="1"/>
    <n v="0.56999999999999995"/>
    <n v="19.38"/>
  </r>
  <r>
    <x v="21"/>
    <x v="1"/>
    <x v="2"/>
    <x v="1"/>
    <n v="1.2070588235294117"/>
    <s v="IRDM11 - FII IRIDIUM RECEBIVEIS IMOBILIARIOS"/>
    <s v="19/10/2021"/>
    <s v="Rendimento"/>
    <s v="SANTANDER CORRETORA DE CAMBIO E VALORES MOBILIARIOS S.A"/>
    <n v="1"/>
    <n v="1.05"/>
    <n v="15.81"/>
  </r>
  <r>
    <x v="22"/>
    <x v="1"/>
    <x v="2"/>
    <x v="1"/>
    <n v="1.2070588235294117"/>
    <s v="HCTR11 - HECTARE CE - FUNDO DE INVESTIMENTO IMOBILIÁRIO"/>
    <s v="15/10/2021"/>
    <s v="Rendimento"/>
    <s v="SANTANDER CORRETORA DE CAMBIO E VALORES MOBILIARIOS S.A"/>
    <n v="1"/>
    <n v="1.6"/>
    <n v="75.2"/>
  </r>
  <r>
    <x v="10"/>
    <x v="1"/>
    <x v="2"/>
    <x v="1"/>
    <n v="1.2070588235294117"/>
    <s v="KNRI11 - KINEA RENDA IMOBILIÁRIA FDO INV IMOB - FII"/>
    <s v="15/10/2021"/>
    <s v="Rendimento"/>
    <s v="SANTANDER CORRETORA DE CAMBIO E VALORES MOBILIARIOS S.A"/>
    <n v="1"/>
    <n v="0.77"/>
    <n v="10.01"/>
  </r>
  <r>
    <x v="12"/>
    <x v="1"/>
    <x v="2"/>
    <x v="1"/>
    <n v="1.2070588235294117"/>
    <s v="VILG11 - FII VINCI LG"/>
    <s v="15/10/2021"/>
    <s v="Rendimento"/>
    <s v="SANTANDER CORRETORA DE CAMBIO E VALORES MOBILIARIOS S.A"/>
    <n v="1"/>
    <n v="0.64"/>
    <n v="7.68"/>
  </r>
  <r>
    <x v="14"/>
    <x v="1"/>
    <x v="2"/>
    <x v="1"/>
    <n v="1.2070588235294117"/>
    <s v="XPLG11 - XP LOG FUNDO DE INVESTIMENTO IMOBILIARIO FII"/>
    <s v="15/10/2021"/>
    <s v="Rendimento"/>
    <s v="SANTANDER CORRETORA DE CAMBIO E VALORES MOBILIARIOS S.A"/>
    <n v="1"/>
    <n v="0.62"/>
    <n v="33.479999999999997"/>
  </r>
  <r>
    <x v="19"/>
    <x v="1"/>
    <x v="3"/>
    <x v="1"/>
    <n v="1.2070588235294117"/>
    <s v="ALZR11 - ALIANZA TRUST RENDA IMOBILIARIA - FUNDO DE INVESTIMENTO IMOBILIARIO"/>
    <s v="24/09/2021"/>
    <s v="Rendimento"/>
    <s v="SANTANDER CORRETORA DE CAMBIO E VALORES MOBILIARIOS S.A"/>
    <n v="1"/>
    <n v="0.67"/>
    <n v="4.71"/>
  </r>
  <r>
    <x v="20"/>
    <x v="1"/>
    <x v="3"/>
    <x v="1"/>
    <n v="1.2070588235294117"/>
    <s v="BTLG11 - BTG PACTUAL LOGISTICA FUNDO DE INVESTIMENTO IMOBILIARIO"/>
    <s v="24/09/2021"/>
    <s v="Rendimento"/>
    <s v="SANTANDER CORRETORA DE CAMBIO E VALORES MOBILIARIOS S.A"/>
    <n v="1"/>
    <n v="0.72"/>
    <n v="32.4"/>
  </r>
  <r>
    <x v="21"/>
    <x v="1"/>
    <x v="3"/>
    <x v="1"/>
    <n v="1.2070588235294117"/>
    <s v="IRDM11 - FII IRIDIUM RECEBIVEIS IMOBILIARIOS"/>
    <s v="17/09/2021"/>
    <s v="Rendimento"/>
    <s v="SANTANDER CORRETORA DE CAMBIO E VALORES MOBILIARIOS S.A"/>
    <n v="1"/>
    <n v="1.1299999999999999"/>
    <n v="15.84"/>
  </r>
  <r>
    <x v="22"/>
    <x v="1"/>
    <x v="3"/>
    <x v="1"/>
    <n v="1.2070588235294117"/>
    <s v="HCTR11 - HECTARE CE - FUNDO DE INVESTIMENTO IMOBILIÁRIO"/>
    <s v="15/09/2021"/>
    <s v="Rendimento"/>
    <s v="SANTANDER CORRETORA DE CAMBIO E VALORES MOBILIARIOS S.A"/>
    <n v="1"/>
    <n v="1.5"/>
    <n v="55.5"/>
  </r>
  <r>
    <x v="12"/>
    <x v="1"/>
    <x v="3"/>
    <x v="1"/>
    <n v="1.2070588235294117"/>
    <s v="VILG11 - FII VINCI LG"/>
    <s v="15/09/2021"/>
    <s v="Rendimento"/>
    <s v="SANTANDER CORRETORA DE CAMBIO E VALORES MOBILIARIOS S.A"/>
    <n v="1"/>
    <n v="0.63"/>
    <n v="7.56"/>
  </r>
  <r>
    <x v="2"/>
    <x v="0"/>
    <x v="3"/>
    <x v="1"/>
    <n v="1.2070588235294117"/>
    <s v="SANB4 - BANCO SANTANDER (BRASIL) S.A."/>
    <s v="03/09/2021"/>
    <s v="Juros Sobre Capital Próprio"/>
    <s v="SANTANDER CORRETORA DE CAMBIO E VALORES MOBILIARIOS S.A"/>
    <n v="1"/>
    <n v="0.48"/>
    <n v="61.28"/>
  </r>
  <r>
    <x v="21"/>
    <x v="1"/>
    <x v="4"/>
    <x v="1"/>
    <n v="1.2070588235294117"/>
    <s v="IRDM11 - FII IRIDIUM RECEBIVEIS IMOBILIARIOS"/>
    <s v="17/08/2021"/>
    <s v="Rendimento"/>
    <s v="SANTANDER CORRETORA DE CAMBIO E VALORES MOBILIARIOS S.A"/>
    <n v="1"/>
    <n v="1.1499999999999999"/>
    <n v="8.06"/>
  </r>
  <r>
    <x v="20"/>
    <x v="1"/>
    <x v="4"/>
    <x v="1"/>
    <n v="1.2070588235294117"/>
    <s v="BTLG11 - BTG PACTUAL LOGISTICA FUNDO DE INVESTIMENTO IMOBILIARIO"/>
    <s v="13/08/2021"/>
    <s v="Rendimento"/>
    <s v="SANTANDER CORRETORA DE CAMBIO E VALORES MOBILIARIOS S.A"/>
    <n v="1"/>
    <n v="0.74"/>
    <n v="33.299999999999997"/>
  </r>
  <r>
    <x v="22"/>
    <x v="1"/>
    <x v="4"/>
    <x v="1"/>
    <n v="1.2070588235294117"/>
    <s v="HCTR11 - HECTARE CE - FUNDO DE INVESTIMENTO IMOBILIÁRIO"/>
    <s v="13/08/2021"/>
    <s v="Rendimento"/>
    <s v="SANTANDER CORRETORA DE CAMBIO E VALORES MOBILIARIOS S.A"/>
    <n v="1"/>
    <n v="1.5"/>
    <n v="55.5"/>
  </r>
  <r>
    <x v="12"/>
    <x v="1"/>
    <x v="4"/>
    <x v="1"/>
    <n v="1.2070588235294117"/>
    <s v="VILG11 - FII VINCI LG"/>
    <s v="13/08/2021"/>
    <s v="Rendimento"/>
    <s v="SANTANDER CORRETORA DE CAMBIO E VALORES MOBILIARIOS S.A"/>
    <n v="1"/>
    <n v="0.61"/>
    <n v="7.32"/>
  </r>
  <r>
    <x v="20"/>
    <x v="1"/>
    <x v="5"/>
    <x v="1"/>
    <n v="1.2070588235294117"/>
    <s v="BTLG11 - BTG PACTUAL LOGISTICA FUNDO DE INVESTIMENTO IMOBILIARIO"/>
    <s v="23/07/2021"/>
    <s v="Rendimento"/>
    <s v="SANTANDER CORRETORA DE CAMBIO E VALORES MOBILIARIOS S.A"/>
    <n v="1"/>
    <n v="0.7"/>
    <n v="25.9"/>
  </r>
  <r>
    <x v="21"/>
    <x v="1"/>
    <x v="5"/>
    <x v="1"/>
    <n v="1.2070588235294117"/>
    <s v="IRDM11 - FII IRIDIUM RECEBIVEIS IMOBILIARIOS"/>
    <s v="19/07/2021"/>
    <s v="Rendimento"/>
    <s v="SANTANDER CORRETORA DE CAMBIO E VALORES MOBILIARIOS S.A"/>
    <n v="1"/>
    <n v="0.97"/>
    <n v="6.8"/>
  </r>
  <r>
    <x v="12"/>
    <x v="1"/>
    <x v="5"/>
    <x v="1"/>
    <n v="1.2070588235294117"/>
    <s v="VILG11 - FII VINCILOG"/>
    <s v="15/07/2021"/>
    <s v="Rendimento"/>
    <s v="SANTANDER CORRETORA DE CAMBIO E VALORES MOBILIARIOS S.A"/>
    <n v="1"/>
    <n v="0.6"/>
    <n v="7.2"/>
  </r>
  <r>
    <x v="0"/>
    <x v="0"/>
    <x v="6"/>
    <x v="1"/>
    <n v="1.2070588235294117"/>
    <s v="CMIG3 - CIA. ENERGETICA DE MINAS GERAIS- CEMIG"/>
    <s v="30/06/2021"/>
    <s v="Juros Sobre Capital Próprio"/>
    <s v="SANTANDER CORRETORA DE CAMBIO E VALORES MOBILIARIOS S.A"/>
    <n v="1"/>
    <n v="0.04"/>
    <n v="3.5"/>
  </r>
  <r>
    <x v="0"/>
    <x v="0"/>
    <x v="6"/>
    <x v="1"/>
    <n v="1.2070588235294117"/>
    <s v="CMIG3 - CIA. ENERGETICA DE MINAS GERAIS- CEMIG"/>
    <s v="30/06/2021"/>
    <s v="Juros Sobre Capital Próprio"/>
    <s v="SANTANDER CORRETORA DE CAMBIO E VALORES MOBILIARIOS S.A"/>
    <n v="1"/>
    <n v="0.14000000000000001"/>
    <n v="12.62"/>
  </r>
  <r>
    <x v="0"/>
    <x v="0"/>
    <x v="6"/>
    <x v="1"/>
    <n v="1.2070588235294117"/>
    <s v="CMIG3 - CIA. ENERGETICA DE MINAS GERAIS- CEMIG"/>
    <s v="30/06/2021"/>
    <s v="Dividendo"/>
    <s v="SANTANDER CORRETORA DE CAMBIO E VALORES MOBILIARIOS S.A"/>
    <n v="1"/>
    <n v="0.31"/>
    <n v="31.8"/>
  </r>
  <r>
    <x v="23"/>
    <x v="0"/>
    <x v="6"/>
    <x v="1"/>
    <n v="1.2070588235294117"/>
    <s v="SAPR3 - CIA DE SANEAMENTO DO PARANA - SANEPAR"/>
    <s v="18/06/2021"/>
    <s v="Juros Sobre Capital Próprio"/>
    <s v="SANTANDER CORRETORA DE CAMBIO E VALORES MOBILIARIOS S.A"/>
    <n v="1"/>
    <n v="0.09"/>
    <n v="7.69"/>
  </r>
  <r>
    <x v="21"/>
    <x v="1"/>
    <x v="6"/>
    <x v="1"/>
    <n v="1.2070588235294117"/>
    <s v="IRDM11 - FII IRIDIUM RECEBIVEIS IMOBILIARIOS"/>
    <s v="17/06/2021"/>
    <s v="Rendimento"/>
    <s v="SANTANDER CORRETORA DE CAMBIO E VALORES MOBILIARIOS S.A"/>
    <n v="1"/>
    <n v="1.1499999999999999"/>
    <n v="8.07"/>
  </r>
  <r>
    <x v="5"/>
    <x v="1"/>
    <x v="6"/>
    <x v="1"/>
    <n v="1.2070588235294117"/>
    <s v="BCFF11 - FDO INV IMOB - FII BTG PACTUAL FUNDO DE FUNDOS"/>
    <s v="15/06/2021"/>
    <s v="Rendimento"/>
    <s v="SANTANDER CORRETORA DE CAMBIO E VALORES MOBILIARIOS S.A"/>
    <n v="1"/>
    <n v="0.5"/>
    <n v="20"/>
  </r>
  <r>
    <x v="16"/>
    <x v="0"/>
    <x v="10"/>
    <x v="1"/>
    <n v="1.2070588235294117"/>
    <s v="BBAS3 - BANCO DO BRASIL S/A"/>
    <s v="28/05/2021"/>
    <s v="Dividendo"/>
    <s v="SANTANDER CORRETORA DE CAMBIO E VALORES MOBILIARIOS S.A"/>
    <n v="1"/>
    <n v="7.0000000000000007E-2"/>
    <n v="14.27"/>
  </r>
  <r>
    <x v="16"/>
    <x v="0"/>
    <x v="10"/>
    <x v="1"/>
    <n v="1.2070588235294117"/>
    <s v="BBAS3 - BANCO DO BRASIL S/A"/>
    <s v="28/05/2021"/>
    <s v="Juros Sobre Capital Próprio"/>
    <s v="SANTANDER CORRETORA DE CAMBIO E VALORES MOBILIARIOS S.A"/>
    <n v="1"/>
    <n v="0.34"/>
    <n v="55.51"/>
  </r>
  <r>
    <x v="1"/>
    <x v="0"/>
    <x v="10"/>
    <x v="1"/>
    <n v="1.2070588235294117"/>
    <s v="TAEE4 - TRANSMISSORA ALIANCA DE ENERGIA ELETRICA S/A"/>
    <s v="27/05/2021"/>
    <s v="Juros Sobre Capital Próprio"/>
    <s v="SANTANDER CORRETORA DE CAMBIO E VALORES MOBILIARIOS S.A"/>
    <n v="1"/>
    <n v="0.06"/>
    <n v="21.38"/>
  </r>
  <r>
    <x v="1"/>
    <x v="0"/>
    <x v="10"/>
    <x v="1"/>
    <n v="1.2070588235294117"/>
    <s v="TAEE4 - TRANSMISSORA ALIANCA DE ENERGIA ELETRICA S/A"/>
    <s v="27/05/2021"/>
    <s v="Dividendo"/>
    <s v="SANTANDER CORRETORA DE CAMBIO E VALORES MOBILIARIOS S.A"/>
    <n v="1"/>
    <n v="0.39"/>
    <n v="155.41999999999999"/>
  </r>
  <r>
    <x v="1"/>
    <x v="0"/>
    <x v="10"/>
    <x v="1"/>
    <n v="1.2070588235294117"/>
    <s v="TAEE4 - TRANSMISSORA ALIANCA DE ENERGIA ELETRICA S/A"/>
    <s v="27/05/2021"/>
    <s v="Dividendo"/>
    <s v="SANTANDER CORRETORA DE CAMBIO E VALORES MOBILIARIOS S.A"/>
    <n v="1"/>
    <n v="0.54"/>
    <n v="217.49"/>
  </r>
  <r>
    <x v="17"/>
    <x v="0"/>
    <x v="10"/>
    <x v="1"/>
    <n v="1.2070588235294117"/>
    <s v="TRPL4 - CTEEP - CIA TRANSMISSÃO ENERGIA ELÉTRICA PAULISTA"/>
    <s v="21/05/2021"/>
    <s v="Dividendo"/>
    <s v="SANTANDER CORRETORA DE CAMBIO E VALORES MOBILIARIOS S.A"/>
    <n v="1"/>
    <n v="0.8"/>
    <n v="119.39"/>
  </r>
  <r>
    <x v="17"/>
    <x v="0"/>
    <x v="10"/>
    <x v="1"/>
    <n v="1.2070588235294117"/>
    <s v="TRPL4 - CTEEP - CIA TRANSMISSÃO ENERGIA ELÉTRICA PAULISTA"/>
    <s v="21/05/2021"/>
    <s v="Dividendo"/>
    <s v="SANTANDER CORRETORA DE CAMBIO E VALORES MOBILIARIOS S.A"/>
    <n v="1"/>
    <n v="0.81"/>
    <n v="120.92"/>
  </r>
  <r>
    <x v="21"/>
    <x v="1"/>
    <x v="10"/>
    <x v="1"/>
    <n v="1.2070588235294117"/>
    <s v="IRDM11 - FII IRIDIUM RECEBIVEIS IMOBILIARIOS"/>
    <s v="18/05/2021"/>
    <s v="Rendimento"/>
    <s v="SANTANDER CORRETORA DE CAMBIO E VALORES MOBILIARIOS S.A"/>
    <n v="1"/>
    <n v="1.1599999999999999"/>
    <n v="8.11"/>
  </r>
  <r>
    <x v="5"/>
    <x v="1"/>
    <x v="10"/>
    <x v="1"/>
    <n v="1.2070588235294117"/>
    <s v="BCFF11 - FDO INV IMOB - FII BTG PACTUAL FUNDO DE FUNDOS"/>
    <s v="14/05/2021"/>
    <s v="Rendimento"/>
    <s v="SANTANDER CORRETORA DE CAMBIO E VALORES MOBILIARIOS S.A"/>
    <n v="1"/>
    <n v="0.5"/>
    <n v="20"/>
  </r>
  <r>
    <x v="6"/>
    <x v="1"/>
    <x v="10"/>
    <x v="1"/>
    <n v="1.2070588235294117"/>
    <s v="BRCR11 - FDO INV IMOB - FII BTG PACTUAL CORPORATE OFFICE FUND"/>
    <s v="14/05/2021"/>
    <s v="Rendimento"/>
    <s v="SANTANDER CORRETORA DE CAMBIO E VALORES MOBILIARIOS S.A"/>
    <n v="1"/>
    <n v="0.46"/>
    <n v="17.940000000000001"/>
  </r>
  <r>
    <x v="8"/>
    <x v="1"/>
    <x v="10"/>
    <x v="1"/>
    <n v="1.2070588235294117"/>
    <s v="HGRE11 - CSHG REAL ESTATE FDO INV IMOB - FII"/>
    <s v="14/05/2021"/>
    <s v="Rendimento"/>
    <s v="SANTANDER CORRETORA DE CAMBIO E VALORES MOBILIARIOS S.A"/>
    <n v="1"/>
    <n v="0.67"/>
    <n v="9.3800000000000008"/>
  </r>
  <r>
    <x v="9"/>
    <x v="1"/>
    <x v="10"/>
    <x v="1"/>
    <n v="1.2070588235294117"/>
    <s v="HGRU11 - CSHG RENDA URBANA - FUNDO DE INVESTIMENTO IMOBILIARIO - FII"/>
    <s v="14/05/2021"/>
    <s v="Rendimento"/>
    <s v="SANTANDER CORRETORA DE CAMBIO E VALORES MOBILIARIOS S.A"/>
    <n v="1"/>
    <n v="0.68"/>
    <n v="10.88"/>
  </r>
  <r>
    <x v="3"/>
    <x v="1"/>
    <x v="7"/>
    <x v="1"/>
    <n v="1.2070588235294117"/>
    <s v="XPML11 - XP MALLS FDO INV IMOB FII"/>
    <s v="23/04/2021"/>
    <s v="Rendimento"/>
    <s v="SANTANDER CORRETORA DE CAMBIO E VALORES MOBILIARIOS S.A"/>
    <n v="1"/>
    <n v="0.15"/>
    <n v="0.6"/>
  </r>
  <r>
    <x v="5"/>
    <x v="1"/>
    <x v="7"/>
    <x v="1"/>
    <n v="1.2070588235294117"/>
    <s v="BCFF11 - FDO INV IMOB - FII BTG PACTUAL FUNDO DE FUNDOS"/>
    <s v="15/04/2021"/>
    <s v="Rendimento"/>
    <s v="SANTANDER CORRETORA DE CAMBIO E VALORES MOBILIARIOS S.A"/>
    <n v="1"/>
    <n v="0.56000000000000005"/>
    <n v="22.4"/>
  </r>
  <r>
    <x v="6"/>
    <x v="1"/>
    <x v="7"/>
    <x v="1"/>
    <n v="1.2070588235294117"/>
    <s v="BRCR11 - FDO INV IMOB - FII BTG PACTUAL CORPORATE OFFICE FUND"/>
    <s v="15/04/2021"/>
    <s v="Rendimento"/>
    <s v="SANTANDER CORRETORA DE CAMBIO E VALORES MOBILIARIOS S.A"/>
    <n v="1"/>
    <n v="0.46"/>
    <n v="17.940000000000001"/>
  </r>
  <r>
    <x v="7"/>
    <x v="1"/>
    <x v="7"/>
    <x v="1"/>
    <n v="1.2070588235294117"/>
    <s v="HGLG11 - CSHG LOGISTICA FUNDO DE INVESTIMENTO IMOBILIARIO - FII"/>
    <s v="15/04/2021"/>
    <s v="Rendimento"/>
    <s v="SANTANDER CORRETORA DE CAMBIO E VALORES MOBILIARIOS S.A"/>
    <n v="1"/>
    <n v="0.78"/>
    <n v="9.36"/>
  </r>
  <r>
    <x v="8"/>
    <x v="1"/>
    <x v="7"/>
    <x v="1"/>
    <n v="1.2070588235294117"/>
    <s v="HGRE11 - CSHG REAL ESTATE FDO INV IMOB - FII"/>
    <s v="15/04/2021"/>
    <s v="Rendimento"/>
    <s v="SANTANDER CORRETORA DE CAMBIO E VALORES MOBILIARIOS S.A"/>
    <n v="1"/>
    <n v="0.67"/>
    <n v="9.3800000000000008"/>
  </r>
  <r>
    <x v="9"/>
    <x v="1"/>
    <x v="7"/>
    <x v="1"/>
    <n v="1.2070588235294117"/>
    <s v="HGRU11 - CSHG RENDA URBANA - FUNDO DE INVESTIMENTO IMOBILIARIO - FII"/>
    <s v="15/04/2021"/>
    <s v="Rendimento"/>
    <s v="SANTANDER CORRETORA DE CAMBIO E VALORES MOBILIARIOS S.A"/>
    <n v="1"/>
    <n v="0.68"/>
    <n v="10.88"/>
  </r>
  <r>
    <x v="15"/>
    <x v="1"/>
    <x v="7"/>
    <x v="1"/>
    <n v="1.2070588235294117"/>
    <s v="LVBI11 - FII VBI LOG "/>
    <s v="08/04/2021"/>
    <s v="Rendimento"/>
    <s v="SANTANDER CORRETORA DE CAMBIO E VALORES MOBILIARIOS S.A"/>
    <n v="1"/>
    <n v="0.52"/>
    <n v="5.2"/>
  </r>
  <r>
    <x v="3"/>
    <x v="1"/>
    <x v="8"/>
    <x v="1"/>
    <n v="1.2070588235294117"/>
    <s v="XPML11 - XP MALLS FDO INV IMOB FII"/>
    <s v="25/03/2021"/>
    <s v="Rendimento"/>
    <s v="SANTANDER CORRETORA DE CAMBIO E VALORES MOBILIARIOS S.A"/>
    <n v="1"/>
    <n v="0.25"/>
    <n v="1"/>
  </r>
  <r>
    <x v="20"/>
    <x v="1"/>
    <x v="8"/>
    <x v="1"/>
    <n v="1.2070588235294117"/>
    <s v="BTLG11 - BTG PACTUAL LOGISTICA FUNDO DE INVESTIMENTO IMOBILIARIO"/>
    <s v="22/03/2021"/>
    <s v="Rendimento"/>
    <s v="SANTANDER CORRETORA DE CAMBIO E VALORES MOBILIARIOS S.A"/>
    <n v="1"/>
    <n v="0.6"/>
    <n v="4.8"/>
  </r>
  <r>
    <x v="4"/>
    <x v="1"/>
    <x v="8"/>
    <x v="1"/>
    <n v="1.2070588235294117"/>
    <s v="RBVA11 - FDO INV IMOB RIO BRAVO RENDA VAREJO - FII"/>
    <s v="15/03/2021"/>
    <s v="Rendimento"/>
    <s v="SANTANDER CORRETORA DE CAMBIO E VALORES MOBILIARIOS S.A"/>
    <n v="1"/>
    <n v="0.85"/>
    <n v="19.55"/>
  </r>
  <r>
    <x v="6"/>
    <x v="1"/>
    <x v="8"/>
    <x v="1"/>
    <n v="1.2070588235294117"/>
    <s v="BRCR11 - FDO INV IMOB - FII BTG PACTUAL CORPORATE OFFICE FUND"/>
    <s v="12/03/2021"/>
    <s v="Rendimento"/>
    <s v="SANTANDER CORRETORA DE CAMBIO E VALORES MOBILIARIOS S.A"/>
    <n v="1"/>
    <n v="0.48"/>
    <n v="7.68"/>
  </r>
  <r>
    <x v="7"/>
    <x v="1"/>
    <x v="8"/>
    <x v="1"/>
    <n v="1.2070588235294117"/>
    <s v="HGLG11 - CSHG LOGISTICA FUNDO DE INVESTIMENTO IMOBILIARIO - FII"/>
    <s v="12/03/2021"/>
    <s v="Rendimento"/>
    <s v="SANTANDER CORRETORA DE CAMBIO E VALORES MOBILIARIOS S.A"/>
    <n v="1"/>
    <n v="0.78"/>
    <n v="9.36"/>
  </r>
  <r>
    <x v="8"/>
    <x v="1"/>
    <x v="8"/>
    <x v="1"/>
    <n v="1.2070588235294117"/>
    <s v="HGRE11 - CSHG REAL ESTATE FDO INV IMOB - FII"/>
    <s v="12/03/2021"/>
    <s v="Rendimento"/>
    <s v="SANTANDER CORRETORA DE CAMBIO E VALORES MOBILIARIOS S.A"/>
    <n v="1"/>
    <n v="0.67"/>
    <n v="9.3800000000000008"/>
  </r>
  <r>
    <x v="9"/>
    <x v="1"/>
    <x v="8"/>
    <x v="1"/>
    <n v="1.2070588235294117"/>
    <s v="HGRU11 - CSHG RENDA URBANA - FUNDO DE INVESTIMENTO IMOBILIARIO - FII"/>
    <s v="12/03/2021"/>
    <s v="Rendimento"/>
    <s v="SANTANDER CORRETORA DE CAMBIO E VALORES MOBILIARIOS S.A"/>
    <n v="1"/>
    <n v="0.68"/>
    <n v="10.88"/>
  </r>
  <r>
    <x v="10"/>
    <x v="1"/>
    <x v="8"/>
    <x v="1"/>
    <n v="1.2070588235294117"/>
    <s v="KNRI11 - KINEA RENDA IMOBILIÁRIA FDO INV IMOB - FII"/>
    <s v="12/03/2021"/>
    <s v="Rendimento"/>
    <s v="SANTANDER CORRETORA DE CAMBIO E VALORES MOBILIARIOS S.A"/>
    <n v="1"/>
    <n v="0.69"/>
    <n v="8.9700000000000006"/>
  </r>
  <r>
    <x v="11"/>
    <x v="1"/>
    <x v="8"/>
    <x v="1"/>
    <n v="1.2070588235294117"/>
    <s v="MXRF11 - MAXI RENDA FUNDO DE INVESTIMENTO IMOBILIARIO - FII"/>
    <s v="12/03/2021"/>
    <s v="Rendimento"/>
    <s v="SANTANDER CORRETORA DE CAMBIO E VALORES MOBILIARIOS S.A"/>
    <n v="1"/>
    <n v="0.08"/>
    <n v="16.88"/>
  </r>
  <r>
    <x v="12"/>
    <x v="1"/>
    <x v="8"/>
    <x v="1"/>
    <n v="1.2070588235294117"/>
    <s v="VILG11 - FII VINCILOG"/>
    <s v="12/03/2021"/>
    <s v="Rendimento"/>
    <s v="SANTANDER CORRETORA DE CAMBIO E VALORES MOBILIARIOS S.A"/>
    <n v="1"/>
    <n v="0.6"/>
    <n v="6"/>
  </r>
  <r>
    <x v="13"/>
    <x v="1"/>
    <x v="8"/>
    <x v="1"/>
    <n v="1.2070588235294117"/>
    <s v="VINO11 - VINCI OFFICES FUNDO DE INVESTIMENTO IMOBILIARIO"/>
    <s v="12/03/2021"/>
    <s v="Rendimento"/>
    <s v="SANTANDER CORRETORA DE CAMBIO E VALORES MOBILIARIOS S.A"/>
    <n v="1"/>
    <n v="0.45"/>
    <n v="14.85"/>
  </r>
  <r>
    <x v="14"/>
    <x v="1"/>
    <x v="8"/>
    <x v="1"/>
    <n v="1.2070588235294117"/>
    <s v="XPLG11 - XP LOG FUNDO DE INVESTIMENTO IMOBILIARIO FII"/>
    <s v="12/03/2021"/>
    <s v="Rendimento"/>
    <s v="SANTANDER CORRETORA DE CAMBIO E VALORES MOBILIARIOS S.A"/>
    <n v="1"/>
    <n v="0.57999999999999996"/>
    <n v="9.86"/>
  </r>
  <r>
    <x v="15"/>
    <x v="1"/>
    <x v="8"/>
    <x v="1"/>
    <n v="1.2070588235294117"/>
    <s v="LVBI11 - FII VBI LOG "/>
    <s v="05/03/2021"/>
    <s v="Rendimento"/>
    <s v="SANTANDER CORRETORA DE CAMBIO E VALORES MOBILIARIOS S.A"/>
    <n v="1"/>
    <n v="0.47"/>
    <n v="4.7"/>
  </r>
  <r>
    <x v="16"/>
    <x v="0"/>
    <x v="8"/>
    <x v="1"/>
    <n v="1.2070588235294117"/>
    <s v="BBAS3 - BANCO DO BRASIL S/A"/>
    <s v="03/03/2021"/>
    <s v="Juros Sobre Capital Próprio"/>
    <s v="SANTANDER CORRETORA DE CAMBIO E VALORES MOBILIARIOS S.A"/>
    <n v="1"/>
    <n v="0.43"/>
    <n v="36.94"/>
  </r>
  <r>
    <x v="3"/>
    <x v="1"/>
    <x v="9"/>
    <x v="1"/>
    <n v="1.2070588235294117"/>
    <s v="XPML11 - XP MALLS FDO INV IMOB FII"/>
    <s v="25/02/2021"/>
    <s v="Rendimento"/>
    <s v="SANTANDER CORRETORA DE CAMBIO E VALORES MOBILIARIOS S.A"/>
    <n v="1"/>
    <n v="0.35"/>
    <n v="1.4"/>
  </r>
  <r>
    <x v="6"/>
    <x v="1"/>
    <x v="9"/>
    <x v="1"/>
    <n v="1.2070588235294117"/>
    <s v="BRCR11 - FDO INV IMOB - FII BTG PACTUAL CORPORATE OFFICE FUND"/>
    <s v="12/02/2021"/>
    <s v="Rendimento"/>
    <s v="SANTANDER CORRETORA DE CAMBIO E VALORES MOBILIARIOS S.A"/>
    <n v="1"/>
    <n v="0.49"/>
    <n v="7.84"/>
  </r>
  <r>
    <x v="7"/>
    <x v="1"/>
    <x v="9"/>
    <x v="1"/>
    <n v="1.2070588235294117"/>
    <s v="HGLG11 - CSHG LOGISTICA FUNDO DE INVESTIMENTO IMOBILIARIO - FII"/>
    <s v="12/02/2021"/>
    <s v="Rendimento"/>
    <s v="SANTANDER CORRETORA DE CAMBIO E VALORES MOBILIARIOS S.A"/>
    <n v="1"/>
    <n v="0.78"/>
    <n v="9.36"/>
  </r>
  <r>
    <x v="8"/>
    <x v="1"/>
    <x v="9"/>
    <x v="1"/>
    <n v="1.2070588235294117"/>
    <s v="HGRE11 - CSHG REAL ESTATE FDO INV IMOB - FII"/>
    <s v="12/02/2021"/>
    <s v="Rendimento"/>
    <s v="SANTANDER CORRETORA DE CAMBIO E VALORES MOBILIARIOS S.A"/>
    <n v="1"/>
    <n v="0.67"/>
    <n v="9.3800000000000008"/>
  </r>
  <r>
    <x v="9"/>
    <x v="1"/>
    <x v="9"/>
    <x v="1"/>
    <n v="1.2070588235294117"/>
    <s v="HGRU11 - CSHG RENDA URBANA - FUNDO DE INVESTIMENTO IMOBILIARIO - FII"/>
    <s v="12/02/2021"/>
    <s v="Rendimento"/>
    <s v="SANTANDER CORRETORA DE CAMBIO E VALORES MOBILIARIOS S.A"/>
    <n v="1"/>
    <n v="0.68"/>
    <n v="10.88"/>
  </r>
  <r>
    <x v="10"/>
    <x v="1"/>
    <x v="9"/>
    <x v="1"/>
    <n v="1.2070588235294117"/>
    <s v="KNRI11 - KINEA RENDA IMOBILIÁRIA FDO INV IMOB - FII"/>
    <s v="12/02/2021"/>
    <s v="Rendimento"/>
    <s v="SANTANDER CORRETORA DE CAMBIO E VALORES MOBILIARIOS S.A"/>
    <n v="1"/>
    <n v="0.69"/>
    <n v="8.9700000000000006"/>
  </r>
  <r>
    <x v="11"/>
    <x v="1"/>
    <x v="9"/>
    <x v="1"/>
    <n v="1.2070588235294117"/>
    <s v="MXRF11 - MAXI RENDA FUNDO DE INVESTIMENTO IMOBILIARIO - FII"/>
    <s v="12/02/2021"/>
    <s v="Rendimento"/>
    <s v="SANTANDER CORRETORA DE CAMBIO E VALORES MOBILIARIOS S.A"/>
    <n v="1"/>
    <n v="0.08"/>
    <n v="16.88"/>
  </r>
  <r>
    <x v="4"/>
    <x v="1"/>
    <x v="9"/>
    <x v="1"/>
    <n v="1.2070588235294117"/>
    <s v="RBVA11 - FDO INV IMOB RIO BRAVO RENDA VAREJO - FII"/>
    <s v="12/02/2021"/>
    <s v="Rendimento"/>
    <s v="SANTANDER CORRETORA DE CAMBIO E VALORES MOBILIARIOS S.A"/>
    <n v="1"/>
    <n v="0.95"/>
    <n v="21.85"/>
  </r>
  <r>
    <x v="12"/>
    <x v="1"/>
    <x v="9"/>
    <x v="1"/>
    <n v="1.2070588235294117"/>
    <s v="VILG11 - FII VINCILOG"/>
    <s v="12/02/2021"/>
    <s v="Rendimento"/>
    <s v="SANTANDER CORRETORA DE CAMBIO E VALORES MOBILIARIOS S.A"/>
    <n v="1"/>
    <n v="0.6"/>
    <n v="6"/>
  </r>
  <r>
    <x v="13"/>
    <x v="1"/>
    <x v="9"/>
    <x v="1"/>
    <n v="1.2070588235294117"/>
    <s v="VINO11 - VINCI OFFICES FUNDO DE INVESTIMENTO IMOBILIARIO"/>
    <s v="12/02/2021"/>
    <s v="Rendimento"/>
    <s v="SANTANDER CORRETORA DE CAMBIO E VALORES MOBILIARIOS S.A"/>
    <n v="1"/>
    <n v="0.45"/>
    <n v="14.85"/>
  </r>
  <r>
    <x v="14"/>
    <x v="1"/>
    <x v="9"/>
    <x v="1"/>
    <n v="1.2070588235294117"/>
    <s v="XPLG11 - XP LOG FUNDO DE INVESTIMENTO IMOBILIARIO FII"/>
    <s v="12/02/2021"/>
    <s v="Rendimento"/>
    <s v="SANTANDER CORRETORA DE CAMBIO E VALORES MOBILIARIOS S.A"/>
    <n v="1"/>
    <n v="0.57999999999999996"/>
    <n v="9.86"/>
  </r>
  <r>
    <x v="15"/>
    <x v="1"/>
    <x v="9"/>
    <x v="1"/>
    <n v="1.2070588235294117"/>
    <s v="LVBI11 - FII VBI LOG "/>
    <s v="05/02/2021"/>
    <s v="Rendimento"/>
    <s v="SANTANDER CORRETORA DE CAMBIO E VALORES MOBILIARIOS S.A"/>
    <n v="1"/>
    <n v="0.52"/>
    <n v="5.2"/>
  </r>
  <r>
    <x v="3"/>
    <x v="1"/>
    <x v="11"/>
    <x v="1"/>
    <n v="1.2070588235294117"/>
    <s v="XPML11 - XP MALLS FDO INV IMOB FII"/>
    <s v="22/01/2021"/>
    <s v="Rendimento"/>
    <s v="SANTANDER CORRETORA DE CAMBIO E VALORES MOBILIARIOS S.A"/>
    <n v="1"/>
    <n v="0.68"/>
    <n v="1.35"/>
  </r>
  <r>
    <x v="5"/>
    <x v="1"/>
    <x v="11"/>
    <x v="1"/>
    <n v="1.2070588235294117"/>
    <s v="BCFF11 - FDO INV IMOB - FII BTG PACTUAL FUNDO DE FUNDOS"/>
    <s v="15/01/2021"/>
    <s v="Rendimento"/>
    <s v="SANTANDER CORRETORA DE CAMBIO E VALORES MOBILIARIOS S.A"/>
    <n v="1"/>
    <n v="0.53"/>
    <n v="12.19"/>
  </r>
  <r>
    <x v="6"/>
    <x v="1"/>
    <x v="11"/>
    <x v="1"/>
    <n v="1.2070588235294117"/>
    <s v="BRCR11 - FDO INV IMOB - FII BTG PACTUAL CORPORATE OFFICE FUND"/>
    <s v="15/01/2021"/>
    <s v="Rendimento"/>
    <s v="SANTANDER CORRETORA DE CAMBIO E VALORES MOBILIARIOS S.A"/>
    <n v="1"/>
    <n v="0.5"/>
    <n v="8"/>
  </r>
  <r>
    <x v="7"/>
    <x v="1"/>
    <x v="11"/>
    <x v="1"/>
    <n v="1.2070588235294117"/>
    <s v="HGLG11 - CSHG LOGISTICA FUNDO DE INVESTIMENTO IMOBILIARIO - FII"/>
    <s v="15/01/2021"/>
    <s v="Rendimento"/>
    <s v="SANTANDER CORRETORA DE CAMBIO E VALORES MOBILIARIOS S.A"/>
    <n v="1"/>
    <n v="2.63"/>
    <n v="31.56"/>
  </r>
  <r>
    <x v="8"/>
    <x v="1"/>
    <x v="11"/>
    <x v="1"/>
    <n v="1.2070588235294117"/>
    <s v="HGRE11 - CSHG REAL ESTATE FDO INV IMOB - FII"/>
    <s v="15/01/2021"/>
    <s v="Rendimento"/>
    <s v="SANTANDER CORRETORA DE CAMBIO E VALORES MOBILIARIOS S.A"/>
    <n v="1"/>
    <n v="0.97"/>
    <n v="7.76"/>
  </r>
  <r>
    <x v="9"/>
    <x v="1"/>
    <x v="11"/>
    <x v="1"/>
    <n v="1.2070588235294117"/>
    <s v="HGRU11 - CSHG RENDA URBANA - FUNDO DE INVESTIMENTO IMOBILIARIO - FII"/>
    <s v="15/01/2021"/>
    <s v="Rendimento"/>
    <s v="SANTANDER CORRETORA DE CAMBIO E VALORES MOBILIARIOS S.A"/>
    <n v="1"/>
    <n v="0.72"/>
    <n v="11.52"/>
  </r>
  <r>
    <x v="10"/>
    <x v="1"/>
    <x v="11"/>
    <x v="1"/>
    <n v="1.2070588235294117"/>
    <s v="KNRI11 - KINEA RENDA IMOBILIÁRIA FDO INV IMOB - FII"/>
    <s v="15/01/2021"/>
    <s v="Rendimento"/>
    <s v="SANTANDER CORRETORA DE CAMBIO E VALORES MOBILIARIOS S.A"/>
    <n v="1"/>
    <n v="0.65"/>
    <n v="8.4499999999999993"/>
  </r>
  <r>
    <x v="11"/>
    <x v="1"/>
    <x v="11"/>
    <x v="1"/>
    <n v="1.2070588235294117"/>
    <s v="MXRF11 - MAXI RENDA FUNDO DE INVESTIMENTO IMOBILIARIO - FII"/>
    <s v="15/01/2021"/>
    <s v="Rendimento"/>
    <s v="SANTANDER CORRETORA DE CAMBIO E VALORES MOBILIARIOS S.A"/>
    <n v="1"/>
    <n v="7.0000000000000007E-2"/>
    <n v="13.44"/>
  </r>
  <r>
    <x v="4"/>
    <x v="1"/>
    <x v="11"/>
    <x v="1"/>
    <n v="1.2070588235294117"/>
    <s v="RBVA11 - FDO INV IMOB RIO BRAVO RENDA VAREJO - FII"/>
    <s v="15/01/2021"/>
    <s v="Rendimento"/>
    <s v="SANTANDER CORRETORA DE CAMBIO E VALORES MOBILIARIOS S.A"/>
    <n v="1"/>
    <n v="0.95"/>
    <n v="19"/>
  </r>
  <r>
    <x v="12"/>
    <x v="1"/>
    <x v="11"/>
    <x v="1"/>
    <n v="1.2070588235294117"/>
    <s v="VILG11 - FII VINCILOG"/>
    <s v="15/01/2021"/>
    <s v="Rendimento"/>
    <s v="SANTANDER CORRETORA DE CAMBIO E VALORES MOBILIARIOS S.A"/>
    <n v="1"/>
    <n v="0.6"/>
    <n v="6"/>
  </r>
  <r>
    <x v="13"/>
    <x v="1"/>
    <x v="11"/>
    <x v="1"/>
    <n v="1.2070588235294117"/>
    <s v="VINO11 - VINCI OFFICES FUNDO DE INVESTIMENTO IMOBILIARIO"/>
    <s v="15/01/2021"/>
    <s v="Rendimento"/>
    <s v="SANTANDER CORRETORA DE CAMBIO E VALORES MOBILIARIOS S.A"/>
    <n v="1"/>
    <n v="0.42"/>
    <n v="13.86"/>
  </r>
  <r>
    <x v="14"/>
    <x v="1"/>
    <x v="11"/>
    <x v="1"/>
    <n v="1.2070588235294117"/>
    <s v="XPLG11 - XP LOG FUNDO DE INVESTIMENTO IMOBILIARIO FII"/>
    <s v="15/01/2021"/>
    <s v="Rendimento"/>
    <s v="SANTANDER CORRETORA DE CAMBIO E VALORES MOBILIARIOS S.A"/>
    <n v="1"/>
    <n v="0.6"/>
    <n v="10.199999999999999"/>
  </r>
  <r>
    <x v="15"/>
    <x v="1"/>
    <x v="11"/>
    <x v="1"/>
    <n v="1.2070588235294117"/>
    <s v="LVBI11 - FII VBI LOG "/>
    <s v="08/01/2021"/>
    <s v="Rendimento"/>
    <s v="SANTANDER CORRETORA DE CAMBIO E VALORES MOBILIARIOS S.A"/>
    <n v="1"/>
    <n v="0.47"/>
    <n v="4.7"/>
  </r>
  <r>
    <x v="20"/>
    <x v="1"/>
    <x v="5"/>
    <x v="2"/>
    <n v="1.2070588235294117"/>
    <s v="BTLG11 - BTG PACTUAL LOGISTICA FUNDO DE INVESTIMENTO IMOBILIARIO"/>
    <s v="25/07/2022"/>
    <s v="Rendimento"/>
    <s v="SANTANDER CORRETORA DE CAMBIO E VALORES MOBILIARIOS S.A"/>
    <n v="1"/>
    <n v="0.82"/>
    <n v="60.68"/>
  </r>
  <r>
    <x v="3"/>
    <x v="1"/>
    <x v="5"/>
    <x v="2"/>
    <n v="1.2070588235294117"/>
    <s v="XPML11 - XP MALLS FDO INV IMOB FII"/>
    <s v="25/07/2022"/>
    <s v="Rendimento"/>
    <s v="SANTANDER CORRETORA DE CAMBIO E VALORES MOBILIARIOS S.A"/>
    <n v="1"/>
    <n v="0.69"/>
    <n v="62.1"/>
  </r>
  <r>
    <x v="21"/>
    <x v="1"/>
    <x v="5"/>
    <x v="2"/>
    <n v="1.2070588235294117"/>
    <s v="IRDM11 - FII IRIDIUM RECEBIVEIS IMOBILIARIOS"/>
    <s v="18/07/2022"/>
    <s v="Rendimento"/>
    <s v="SANTANDER CORRETORA DE CAMBIO E VALORES MOBILIARIOS S.A"/>
    <n v="1"/>
    <n v="1.29"/>
    <n v="87.51"/>
  </r>
  <r>
    <x v="4"/>
    <x v="1"/>
    <x v="5"/>
    <x v="2"/>
    <n v="1.2070588235294117"/>
    <s v="RBVA11 - FDO INV IMOB RIO BRAVO RENDA VAREJO - FII"/>
    <s v="15/07/2022"/>
    <s v="Rendimento"/>
    <s v="SANTANDER CORRETORA DE CAMBIO E VALORES MOBILIARIOS S.A"/>
    <n v="1"/>
    <n v="1.1000000000000001"/>
    <n v="59.4"/>
  </r>
  <r>
    <x v="5"/>
    <x v="1"/>
    <x v="5"/>
    <x v="2"/>
    <n v="1.2070588235294117"/>
    <s v="BCFF11 - FDO INV IMOB - FII BTG PACTUAL FUNDO DE FUNDOS"/>
    <s v="14/07/2022"/>
    <s v="Rendimento"/>
    <s v="SANTANDER CORRETORA DE CAMBIO E VALORES MOBILIARIOS S.A"/>
    <n v="1"/>
    <n v="0.6"/>
    <n v="61.8"/>
  </r>
  <r>
    <x v="6"/>
    <x v="1"/>
    <x v="5"/>
    <x v="2"/>
    <n v="1.2070588235294117"/>
    <s v="BRCR11 - FDO INV IMOB - FII BTG PACTUAL CORPORATE OFFICE FUND"/>
    <s v="14/07/2022"/>
    <s v="Rendimento"/>
    <s v="SANTANDER CORRETORA DE CAMBIO E VALORES MOBILIARIOS S.A"/>
    <n v="1"/>
    <n v="0.47"/>
    <n v="54.99"/>
  </r>
  <r>
    <x v="22"/>
    <x v="1"/>
    <x v="5"/>
    <x v="2"/>
    <n v="1.2070588235294117"/>
    <s v="HCTR11 - HECTARE CE - FUNDO DE INVESTIMENTO IMOBILIÁRIO"/>
    <s v="14/07/2022"/>
    <s v="Rendimento"/>
    <s v="SANTANDER CORRETORA DE CAMBIO E VALORES MOBILIARIOS S.A"/>
    <n v="1"/>
    <n v="1.5"/>
    <n v="70.5"/>
  </r>
  <r>
    <x v="7"/>
    <x v="1"/>
    <x v="5"/>
    <x v="2"/>
    <n v="1.2070588235294117"/>
    <s v="HGLG11 - CSHG LOGISTICA FUNDO DE INVESTIMENTO IMOBILIARIO - FII"/>
    <s v="14/07/2022"/>
    <s v="Rendimento"/>
    <s v="SANTANDER CORRETORA DE CAMBIO E VALORES MOBILIARIOS S.A"/>
    <n v="1"/>
    <n v="3.3"/>
    <n v="148.5"/>
  </r>
  <r>
    <x v="8"/>
    <x v="1"/>
    <x v="5"/>
    <x v="2"/>
    <n v="1.2070588235294117"/>
    <s v="HGRE11 - CSHG REAL ESTATE FDO INV IMOB - FII"/>
    <s v="14/07/2022"/>
    <s v="Rendimento"/>
    <s v="SANTANDER CORRETORA DE CAMBIO E VALORES MOBILIARIOS S.A"/>
    <n v="1"/>
    <n v="0.78"/>
    <n v="47.58"/>
  </r>
  <r>
    <x v="9"/>
    <x v="1"/>
    <x v="5"/>
    <x v="2"/>
    <n v="1.2070588235294117"/>
    <s v="HGRU11 - CSHG RENDA URBANA - FUNDO DE INVESTIMENTO IMOBILIARIO - FII"/>
    <s v="14/07/2022"/>
    <s v="Rendimento"/>
    <s v="SANTANDER CORRETORA DE CAMBIO E VALORES MOBILIARIOS S.A"/>
    <n v="1"/>
    <n v="1.2"/>
    <n v="88.8"/>
  </r>
  <r>
    <x v="10"/>
    <x v="1"/>
    <x v="5"/>
    <x v="2"/>
    <n v="1.2070588235294117"/>
    <s v="KNRI11 - KINEA RENDA IMOBILIÁRIA FDO INV IMOB - FII"/>
    <s v="14/07/2022"/>
    <s v="Rendimento"/>
    <s v="SANTANDER CORRETORA DE CAMBIO E VALORES MOBILIARIOS S.A"/>
    <n v="1"/>
    <n v="0.84"/>
    <n v="52.08"/>
  </r>
  <r>
    <x v="11"/>
    <x v="1"/>
    <x v="5"/>
    <x v="2"/>
    <n v="1.2070588235294117"/>
    <s v="MXRF11 - MAXI RENDA FUNDO DE INVESTIMENTO IMOBILIARIO - FII"/>
    <s v="14/07/2022"/>
    <s v="Rendimento"/>
    <s v="SANTANDER CORRETORA DE CAMBIO E VALORES MOBILIARIOS S.A"/>
    <n v="1"/>
    <n v="0.1"/>
    <n v="100"/>
  </r>
  <r>
    <x v="12"/>
    <x v="1"/>
    <x v="5"/>
    <x v="2"/>
    <n v="1.2070588235294117"/>
    <s v="VILG11 - FII VINCI LG"/>
    <s v="14/07/2022"/>
    <s v="Rendimento"/>
    <s v="SANTANDER CORRETORA DE CAMBIO E VALORES MOBILIARIOS S.A"/>
    <n v="1"/>
    <n v="0.71"/>
    <n v="49.7"/>
  </r>
  <r>
    <x v="13"/>
    <x v="1"/>
    <x v="5"/>
    <x v="2"/>
    <n v="1.2070588235294117"/>
    <s v="VINO11 - VINCI OFFICES FUNDO DE INVESTIMENTO IMOBILIARIO"/>
    <s v="14/07/2022"/>
    <s v="Rendimento"/>
    <s v="SANTANDER CORRETORA DE CAMBIO E VALORES MOBILIARIOS S.A"/>
    <n v="1"/>
    <n v="0.34"/>
    <n v="58.48"/>
  </r>
  <r>
    <x v="14"/>
    <x v="1"/>
    <x v="5"/>
    <x v="2"/>
    <n v="1.2070588235294117"/>
    <s v="XPLG11 - XP LOG FUNDO DE INVESTIMENTO IMOBILIARIO FII"/>
    <s v="14/07/2022"/>
    <s v="Rendimento"/>
    <s v="SANTANDER CORRETORA DE CAMBIO E VALORES MOBILIARIOS S.A"/>
    <n v="1"/>
    <n v="0.7"/>
    <n v="56.7"/>
  </r>
  <r>
    <x v="18"/>
    <x v="0"/>
    <x v="5"/>
    <x v="2"/>
    <n v="1.2070588235294117"/>
    <s v="B3SA3 - B3 S.A. – BRASIL, BOLSA, BALCÃO"/>
    <s v="08/07/2022"/>
    <s v="Juros Sobre Capital Próprio"/>
    <s v="SANTANDER CORRETORA DE CAMBIO E VALORES MOBILIARIOS S.A"/>
    <n v="1"/>
    <n v="0.06"/>
    <n v="49.86"/>
  </r>
  <r>
    <x v="18"/>
    <x v="0"/>
    <x v="5"/>
    <x v="2"/>
    <n v="1.2070588235294117"/>
    <s v="B3SA3 - B3 S.A. – BRASIL, BOLSA, BALCÃO"/>
    <s v="08/07/2022"/>
    <s v="Dividendo"/>
    <s v="SANTANDER CORRETORA DE CAMBIO E VALORES MOBILIARIOS S.A"/>
    <n v="1"/>
    <n v="7.0000000000000007E-2"/>
    <n v="67.28"/>
  </r>
  <r>
    <x v="15"/>
    <x v="1"/>
    <x v="5"/>
    <x v="2"/>
    <n v="1.2070588235294117"/>
    <s v="LVBI11 - FII VBI LOG "/>
    <s v="07/07/2022"/>
    <s v="Rendimento"/>
    <s v="SANTANDER CORRETORA DE CAMBIO E VALORES MOBILIARIOS S.A"/>
    <n v="1"/>
    <n v="0.74"/>
    <n v="57.72"/>
  </r>
  <r>
    <x v="16"/>
    <x v="0"/>
    <x v="6"/>
    <x v="2"/>
    <n v="1.2070588235294117"/>
    <s v="BBAS3 - BANCO DO BRASIL S/A"/>
    <s v="30/06/2022"/>
    <s v="Juros Sobre Capital Próprio"/>
    <s v="SANTANDER CORRETORA DE CAMBIO E VALORES MOBILIARIOS S.A"/>
    <n v="1"/>
    <n v="0.25"/>
    <n v="63.82"/>
  </r>
  <r>
    <x v="0"/>
    <x v="0"/>
    <x v="6"/>
    <x v="2"/>
    <n v="1.2070588235294117"/>
    <s v="CMIG3 - CIA. ENERGETICA DE MINAS GERAIS- CEMIG"/>
    <s v="30/06/2022"/>
    <s v="Juros Sobre Capital Próprio"/>
    <s v="SANTANDER CORRETORA DE CAMBIO E VALORES MOBILIARIOS S.A"/>
    <n v="1"/>
    <n v="0.28000000000000003"/>
    <n v="27.59"/>
  </r>
  <r>
    <x v="0"/>
    <x v="0"/>
    <x v="6"/>
    <x v="2"/>
    <n v="1.2070588235294117"/>
    <s v="CMIG3 - CIA. ENERGETICA DE MINAS GERAIS- CEMIG"/>
    <s v="30/06/2022"/>
    <s v="Dividendo"/>
    <s v="SANTANDER CORRETORA DE CAMBIO E VALORES MOBILIARIOS S.A"/>
    <n v="1"/>
    <n v="0.3"/>
    <n v="59.74"/>
  </r>
  <r>
    <x v="23"/>
    <x v="0"/>
    <x v="6"/>
    <x v="2"/>
    <n v="1.2070588235294117"/>
    <s v="SAPR3 - CIA DE SANEAMENTO DO PARANA - SANEPAR"/>
    <s v="24/06/2022"/>
    <s v="Juros Sobre Capital Próprio"/>
    <s v="SANTANDER CORRETORA DE CAMBIO E VALORES MOBILIARIOS S.A"/>
    <n v="1"/>
    <n v="0.09"/>
    <n v="23.9"/>
  </r>
  <r>
    <x v="23"/>
    <x v="0"/>
    <x v="6"/>
    <x v="2"/>
    <n v="1.2070588235294117"/>
    <s v="SAPR3 - CIA DE SANEAMENTO DO PARANA - SANEPAR"/>
    <s v="24/06/2022"/>
    <s v="Juros Sobre Capital Próprio"/>
    <s v="SANTANDER CORRETORA DE CAMBIO E VALORES MOBILIARIOS S.A"/>
    <n v="1"/>
    <n v="0.11"/>
    <n v="55.3"/>
  </r>
  <r>
    <x v="3"/>
    <x v="1"/>
    <x v="6"/>
    <x v="2"/>
    <n v="1.2070588235294117"/>
    <s v="XPML11 - XP MALLS FDO INV IMOB FII"/>
    <s v="24/06/2022"/>
    <s v="Rendimento"/>
    <s v="SANTANDER CORRETORA DE CAMBIO E VALORES MOBILIARIOS S.A"/>
    <n v="1"/>
    <n v="0.68"/>
    <n v="61.2"/>
  </r>
  <r>
    <x v="21"/>
    <x v="1"/>
    <x v="6"/>
    <x v="2"/>
    <n v="1.2070588235294117"/>
    <s v="IRDM11 - FII IRIDIUM RECEBIVEIS IMOBILIARIOS"/>
    <s v="17/06/2022"/>
    <s v="Rendimento"/>
    <s v="SANTANDER CORRETORA DE CAMBIO E VALORES MOBILIARIOS S.A"/>
    <n v="1"/>
    <n v="1.35"/>
    <n v="91.96"/>
  </r>
  <r>
    <x v="5"/>
    <x v="1"/>
    <x v="6"/>
    <x v="2"/>
    <n v="1.2070588235294117"/>
    <s v="BCFF11 - FDO INV IMOB - FII BTG PACTUAL FUNDO DE FUNDOS"/>
    <s v="14/06/2022"/>
    <s v="Rendimento"/>
    <s v="SANTANDER CORRETORA DE CAMBIO E VALORES MOBILIARIOS S.A"/>
    <n v="1"/>
    <n v="0.54"/>
    <n v="55.62"/>
  </r>
  <r>
    <x v="22"/>
    <x v="1"/>
    <x v="6"/>
    <x v="2"/>
    <n v="1.2070588235294117"/>
    <s v="HCTR11 - HECTARE CE - FUNDO DE INVESTIMENTO IMOBILIÁRIO"/>
    <s v="14/06/2022"/>
    <s v="Rendimento"/>
    <s v="SANTANDER CORRETORA DE CAMBIO E VALORES MOBILIARIOS S.A"/>
    <n v="1"/>
    <n v="1.77"/>
    <n v="83.19"/>
  </r>
  <r>
    <x v="7"/>
    <x v="1"/>
    <x v="6"/>
    <x v="2"/>
    <n v="1.2070588235294117"/>
    <s v="HGLG11 - CSHG LOGISTICA FUNDO DE INVESTIMENTO IMOBILIARIO - FII"/>
    <s v="14/06/2022"/>
    <s v="Rendimento"/>
    <s v="SANTANDER CORRETORA DE CAMBIO E VALORES MOBILIARIOS S.A"/>
    <n v="1"/>
    <n v="1.1000000000000001"/>
    <n v="41.8"/>
  </r>
  <r>
    <x v="12"/>
    <x v="1"/>
    <x v="6"/>
    <x v="2"/>
    <n v="1.2070588235294117"/>
    <s v="VILG11 - FII VINCI LG"/>
    <s v="14/06/2022"/>
    <s v="Rendimento"/>
    <s v="SANTANDER CORRETORA DE CAMBIO E VALORES MOBILIARIOS S.A"/>
    <n v="1"/>
    <n v="0.7"/>
    <n v="47.6"/>
  </r>
  <r>
    <x v="13"/>
    <x v="1"/>
    <x v="6"/>
    <x v="2"/>
    <n v="1.2070588235294117"/>
    <s v="VINO11 - VINCI OFFICES FUNDO DE INVESTIMENTO IMOBILIARIO"/>
    <s v="14/06/2022"/>
    <s v="Rendimento"/>
    <s v="SANTANDER CORRETORA DE CAMBIO E VALORES MOBILIARIOS S.A"/>
    <n v="1"/>
    <n v="0.34"/>
    <n v="58.48"/>
  </r>
  <r>
    <x v="14"/>
    <x v="1"/>
    <x v="6"/>
    <x v="2"/>
    <n v="1.2070588235294117"/>
    <s v="XPLG11 - XP LOG FUNDO DE INVESTIMENTO IMOBILIARIO FII"/>
    <s v="14/06/2022"/>
    <s v="Rendimento"/>
    <s v="SANTANDER CORRETORA DE CAMBIO E VALORES MOBILIARIOS S.A"/>
    <n v="1"/>
    <n v="0.68"/>
    <n v="55.08"/>
  </r>
  <r>
    <x v="15"/>
    <x v="1"/>
    <x v="6"/>
    <x v="2"/>
    <n v="1.2070588235294117"/>
    <s v="LVBI11 - FII VBI LOG "/>
    <s v="07/06/2022"/>
    <s v="Rendimento"/>
    <s v="SANTANDER CORRETORA DE CAMBIO E VALORES MOBILIARIOS S.A"/>
    <n v="1"/>
    <n v="0.74"/>
    <n v="57.72"/>
  </r>
  <r>
    <x v="16"/>
    <x v="0"/>
    <x v="10"/>
    <x v="2"/>
    <n v="1.2070588235294117"/>
    <s v="BBAS3 - BANCO DO BRASIL S/A"/>
    <s v="31/05/2022"/>
    <s v="Dividendo"/>
    <s v="SANTANDER CORRETORA DE CAMBIO E VALORES MOBILIARIOS S.A"/>
    <n v="1"/>
    <n v="0.16"/>
    <n v="46.6"/>
  </r>
  <r>
    <x v="16"/>
    <x v="0"/>
    <x v="10"/>
    <x v="2"/>
    <n v="1.2070588235294117"/>
    <s v="BBAS3 - BANCO DO BRASIL S/A"/>
    <s v="31/05/2022"/>
    <s v="Juros Sobre Capital Próprio"/>
    <s v="SANTANDER CORRETORA DE CAMBIO E VALORES MOBILIARIOS S.A"/>
    <n v="1"/>
    <n v="0.52"/>
    <n v="132.02000000000001"/>
  </r>
  <r>
    <x v="1"/>
    <x v="0"/>
    <x v="10"/>
    <x v="2"/>
    <n v="1.2070588235294117"/>
    <s v="TAEE4 - TRANSMISSORA ALIANCA DE ENERGIA ELETRICA S/A"/>
    <s v="31/05/2022"/>
    <s v="Dividendo"/>
    <s v="SANTANDER CORRETORA DE CAMBIO E VALORES MOBILIARIOS S.A"/>
    <n v="1"/>
    <n v="0.14000000000000001"/>
    <n v="99.57"/>
  </r>
  <r>
    <x v="3"/>
    <x v="1"/>
    <x v="10"/>
    <x v="2"/>
    <n v="1.2070588235294117"/>
    <s v="XPML11 - XP MALLS FDO INV IMOB FII"/>
    <s v="25/05/2022"/>
    <s v="Rendimento"/>
    <s v="SANTANDER CORRETORA DE CAMBIO E VALORES MOBILIARIOS S.A"/>
    <n v="1"/>
    <n v="0.68"/>
    <n v="61.2"/>
  </r>
  <r>
    <x v="21"/>
    <x v="1"/>
    <x v="10"/>
    <x v="2"/>
    <n v="1.2070588235294117"/>
    <s v="IRDM11 - FII IRIDIUM RECEBIVEIS IMOBILIARIOS"/>
    <s v="17/05/2022"/>
    <s v="Rendimento"/>
    <s v="SANTANDER CORRETORA DE CAMBIO E VALORES MOBILIARIOS S.A"/>
    <n v="1"/>
    <n v="1.26"/>
    <n v="85.74"/>
  </r>
  <r>
    <x v="2"/>
    <x v="0"/>
    <x v="10"/>
    <x v="2"/>
    <n v="1.2070588235294117"/>
    <s v="SANB4 - BANCO SANTANDER (BRASIL) S.A."/>
    <s v="16/05/2022"/>
    <s v="Dividendo"/>
    <s v="SANTANDER CORRETORA DE CAMBIO E VALORES MOBILIARIOS S.A"/>
    <n v="1"/>
    <n v="0.1"/>
    <n v="29.51"/>
  </r>
  <r>
    <x v="2"/>
    <x v="0"/>
    <x v="10"/>
    <x v="2"/>
    <n v="1.2070588235294117"/>
    <s v="SANB4 - BANCO SANTANDER (BRASIL) S.A."/>
    <s v="16/05/2022"/>
    <s v="Juros Sobre Capital Próprio"/>
    <s v="SANTANDER CORRETORA DE CAMBIO E VALORES MOBILIARIOS S.A"/>
    <n v="1"/>
    <n v="0.14000000000000001"/>
    <n v="35.85"/>
  </r>
  <r>
    <x v="5"/>
    <x v="1"/>
    <x v="10"/>
    <x v="2"/>
    <n v="1.2070588235294117"/>
    <s v="BCFF11 - FDO INV IMOB - FII BTG PACTUAL FUNDO DE FUNDOS"/>
    <s v="13/05/2022"/>
    <s v="Rendimento"/>
    <s v="SANTANDER CORRETORA DE CAMBIO E VALORES MOBILIARIOS S.A"/>
    <n v="1"/>
    <n v="0.54"/>
    <n v="55.62"/>
  </r>
  <r>
    <x v="12"/>
    <x v="1"/>
    <x v="10"/>
    <x v="2"/>
    <n v="1.2070588235294117"/>
    <s v="VILG11 - FII VINCI LG"/>
    <s v="13/05/2022"/>
    <s v="Rendimento"/>
    <s v="SANTANDER CORRETORA DE CAMBIO E VALORES MOBILIARIOS S.A"/>
    <n v="1"/>
    <n v="0.7"/>
    <n v="47.6"/>
  </r>
  <r>
    <x v="14"/>
    <x v="1"/>
    <x v="10"/>
    <x v="2"/>
    <n v="1.2070588235294117"/>
    <s v="XPLG11 - XP LOG FUNDO DE INVESTIMENTO IMOBILIARIO FII"/>
    <s v="13/05/2022"/>
    <s v="Rendimento"/>
    <s v="SANTANDER CORRETORA DE CAMBIO E VALORES MOBILIARIOS S.A"/>
    <n v="1"/>
    <n v="0.66"/>
    <n v="53.46"/>
  </r>
  <r>
    <x v="3"/>
    <x v="1"/>
    <x v="7"/>
    <x v="2"/>
    <n v="1.2070588235294117"/>
    <s v="XPML11 - XP MALLS FDO INV IMOB FII"/>
    <s v="25/04/2022"/>
    <s v="Rendimento"/>
    <s v="SANTANDER CORRETORA DE CAMBIO E VALORES MOBILIARIOS S.A"/>
    <n v="1"/>
    <n v="0.66"/>
    <n v="46.2"/>
  </r>
  <r>
    <x v="21"/>
    <x v="1"/>
    <x v="7"/>
    <x v="2"/>
    <n v="1.2070588235294117"/>
    <s v="IRDM11 - FII IRIDIUM RECEBIVEIS IMOBILIARIOS"/>
    <s v="19/04/2022"/>
    <s v="Rendimento"/>
    <s v="SANTANDER CORRETORA DE CAMBIO E VALORES MOBILIARIOS S.A"/>
    <n v="1"/>
    <n v="1.18"/>
    <n v="80.37"/>
  </r>
  <r>
    <x v="5"/>
    <x v="1"/>
    <x v="7"/>
    <x v="2"/>
    <n v="1.2070588235294117"/>
    <s v="BCFF11 - FDO INV IMOB - FII BTG PACTUAL FUNDO DE FUNDOS"/>
    <s v="14/04/2022"/>
    <s v="Rendimento"/>
    <s v="SANTANDER CORRETORA DE CAMBIO E VALORES MOBILIARIOS S.A"/>
    <n v="1"/>
    <n v="0.54"/>
    <n v="39.42"/>
  </r>
  <r>
    <x v="12"/>
    <x v="1"/>
    <x v="7"/>
    <x v="2"/>
    <n v="1.2070588235294117"/>
    <s v="VILG11 - FII VINCI LG"/>
    <s v="14/04/2022"/>
    <s v="Rendimento"/>
    <s v="SANTANDER CORRETORA DE CAMBIO E VALORES MOBILIARIOS S.A"/>
    <n v="1"/>
    <n v="0.7"/>
    <n v="40.6"/>
  </r>
  <r>
    <x v="14"/>
    <x v="1"/>
    <x v="7"/>
    <x v="2"/>
    <n v="1.2070588235294117"/>
    <s v="XPLG11 - XP LOG FUNDO DE INVESTIMENTO IMOBILIARIO FII"/>
    <s v="14/04/2022"/>
    <s v="Rendimento"/>
    <s v="SANTANDER CORRETORA DE CAMBIO E VALORES MOBILIARIOS S.A"/>
    <n v="1"/>
    <n v="0.66"/>
    <n v="53.46"/>
  </r>
  <r>
    <x v="18"/>
    <x v="0"/>
    <x v="7"/>
    <x v="2"/>
    <n v="1.2070588235294117"/>
    <s v="B3SA3 - B3 S.A. – BRASIL, BOLSA, BALCÃO"/>
    <s v="08/04/2022"/>
    <s v="Juros Sobre Capital Próprio"/>
    <s v="SANTANDER CORRETORA DE CAMBIO E VALORES MOBILIARIOS S.A"/>
    <n v="1"/>
    <n v="0.05"/>
    <n v="21.37"/>
  </r>
  <r>
    <x v="18"/>
    <x v="0"/>
    <x v="7"/>
    <x v="2"/>
    <n v="1.2070588235294117"/>
    <s v="B3SA3 - B3 S.A. – BRASIL, BOLSA, BALCÃO"/>
    <s v="08/04/2022"/>
    <s v="Dividendo"/>
    <s v="SANTANDER CORRETORA DE CAMBIO E VALORES MOBILIARIOS S.A"/>
    <n v="1"/>
    <n v="0.13"/>
    <n v="65.59"/>
  </r>
  <r>
    <x v="16"/>
    <x v="0"/>
    <x v="8"/>
    <x v="2"/>
    <n v="1.2070588235294117"/>
    <s v="BBAS3 - BANCO DO BRASIL S/A"/>
    <s v="31/03/2022"/>
    <s v="Juros Sobre Capital Próprio"/>
    <s v="SANTANDER CORRETORA DE CAMBIO E VALORES MOBILIARIOS S.A"/>
    <n v="1"/>
    <n v="0.21"/>
    <n v="53.71"/>
  </r>
  <r>
    <x v="3"/>
    <x v="1"/>
    <x v="8"/>
    <x v="2"/>
    <n v="1.2070588235294117"/>
    <s v="XPML11 - XP MALLS FDO INV IMOB FII"/>
    <s v="25/03/2022"/>
    <s v="Rendimento"/>
    <s v="SANTANDER CORRETORA DE CAMBIO E VALORES MOBILIARIOS S.A"/>
    <n v="1"/>
    <n v="0.64"/>
    <n v="32"/>
  </r>
  <r>
    <x v="21"/>
    <x v="1"/>
    <x v="8"/>
    <x v="2"/>
    <n v="1.2070588235294117"/>
    <s v="IRDM11 - FII IRIDIUM RECEBIVEIS IMOBILIARIOS"/>
    <s v="17/03/2022"/>
    <s v="Rendimento"/>
    <s v="SANTANDER CORRETORA DE CAMBIO E VALORES MOBILIARIOS S.A"/>
    <n v="1"/>
    <n v="1.22"/>
    <n v="59.78"/>
  </r>
  <r>
    <x v="5"/>
    <x v="1"/>
    <x v="8"/>
    <x v="2"/>
    <n v="1.2070588235294117"/>
    <s v="BCFF11 - FDO INV IMOB - FII BTG PACTUAL FUNDO DE FUNDOS"/>
    <s v="15/03/2022"/>
    <s v="Rendimento"/>
    <s v="SANTANDER CORRETORA DE CAMBIO E VALORES MOBILIARIOS S.A"/>
    <n v="1"/>
    <n v="0.54"/>
    <n v="31.32"/>
  </r>
  <r>
    <x v="2"/>
    <x v="0"/>
    <x v="8"/>
    <x v="2"/>
    <n v="1.2070588235294117"/>
    <s v="SANB4 - BANCO SANTANDER (BRASIL) S.A."/>
    <s v="04/03/2022"/>
    <s v="Dividendo"/>
    <s v="SANTANDER CORRETORA DE CAMBIO E VALORES MOBILIARIOS S.A"/>
    <n v="1"/>
    <n v="0.18"/>
    <n v="38.51"/>
  </r>
  <r>
    <x v="19"/>
    <x v="1"/>
    <x v="9"/>
    <x v="2"/>
    <n v="1.2070588235294117"/>
    <s v="ALZR11 - ALIANZA TRUST RENDA IMOBILIARIA - FUNDO DE INVESTIMENTO IMOBILIARIO"/>
    <s v="25/02/2022"/>
    <s v="Rendimento"/>
    <s v="SANTANDER CORRETORA DE CAMBIO E VALORES MOBILIARIOS S.A"/>
    <n v="1"/>
    <n v="0.73"/>
    <n v="36.99"/>
  </r>
  <r>
    <x v="3"/>
    <x v="1"/>
    <x v="9"/>
    <x v="2"/>
    <n v="1.2070588235294117"/>
    <s v="XPML11 - XP MALLS FDO INV IMOB FII"/>
    <s v="25/02/2022"/>
    <s v="Rendimento"/>
    <s v="SANTANDER CORRETORA DE CAMBIO E VALORES MOBILIARIOS S.A"/>
    <n v="1"/>
    <n v="0.6"/>
    <n v="30"/>
  </r>
  <r>
    <x v="21"/>
    <x v="1"/>
    <x v="9"/>
    <x v="2"/>
    <n v="1.2070588235294117"/>
    <s v="IRDM11 - FII IRIDIUM RECEBIVEIS IMOBILIARIOS"/>
    <s v="16/02/2022"/>
    <s v="Rendimento"/>
    <s v="SANTANDER CORRETORA DE CAMBIO E VALORES MOBILIARIOS S.A"/>
    <n v="1"/>
    <n v="1.08"/>
    <n v="53.15"/>
  </r>
  <r>
    <x v="4"/>
    <x v="1"/>
    <x v="9"/>
    <x v="2"/>
    <n v="1.2070588235294117"/>
    <s v="RBVA11 - FDO INV IMOB RIO BRAVO RENDA VAREJO - FII"/>
    <s v="15/02/2022"/>
    <s v="Rendimento"/>
    <s v="SANTANDER CORRETORA DE CAMBIO E VALORES MOBILIARIOS S.A"/>
    <n v="1"/>
    <n v="0.92"/>
    <n v="40.479999999999997"/>
  </r>
  <r>
    <x v="5"/>
    <x v="1"/>
    <x v="9"/>
    <x v="2"/>
    <n v="1.2070588235294117"/>
    <s v="BCFF11 - FDO INV IMOB - FII BTG PACTUAL FUNDO DE FUNDOS"/>
    <s v="14/02/2022"/>
    <s v="Rendimento"/>
    <s v="SANTANDER CORRETORA DE CAMBIO E VALORES MOBILIARIOS S.A"/>
    <n v="1"/>
    <n v="0.54"/>
    <n v="31.32"/>
  </r>
  <r>
    <x v="6"/>
    <x v="1"/>
    <x v="9"/>
    <x v="2"/>
    <n v="1.2070588235294117"/>
    <s v="BRCR11 - FDO INV IMOB - FII BTG PACTUAL CORPORATE OFFICE FUND"/>
    <s v="14/02/2022"/>
    <s v="Rendimento"/>
    <s v="SANTANDER CORRETORA DE CAMBIO E VALORES MOBILIARIOS S.A"/>
    <n v="1"/>
    <n v="0.5"/>
    <n v="32"/>
  </r>
  <r>
    <x v="13"/>
    <x v="1"/>
    <x v="9"/>
    <x v="2"/>
    <n v="1.2070588235294117"/>
    <s v="VINO11 - VINCI OFFICES FUNDO DE INVESTIMENTO IMOBILIARIO"/>
    <s v="14/02/2022"/>
    <s v="Rendimento"/>
    <s v="SANTANDER CORRETORA DE CAMBIO E VALORES MOBILIARIOS S.A"/>
    <n v="1"/>
    <n v="0.34"/>
    <n v="25.16"/>
  </r>
  <r>
    <x v="2"/>
    <x v="0"/>
    <x v="9"/>
    <x v="2"/>
    <n v="1.2070588235294117"/>
    <s v="SANB4 - BANCO SANTANDER (BRASIL) S.A."/>
    <s v="03/02/2022"/>
    <s v="Juros Sobre Capital Próprio"/>
    <s v="SANTANDER CORRETORA DE CAMBIO E VALORES MOBILIARIOS S.A"/>
    <n v="1"/>
    <n v="0.03"/>
    <n v="6.27"/>
  </r>
  <r>
    <x v="19"/>
    <x v="1"/>
    <x v="11"/>
    <x v="2"/>
    <n v="1.2070588235294117"/>
    <s v="ALZR11 - ALIANZA TRUST RENDA IMOBILIARIA - FUNDO DE INVESTIMENTO IMOBILIARIO"/>
    <s v="25/01/2022"/>
    <s v="Rendimento"/>
    <s v="SANTANDER CORRETORA DE CAMBIO E VALORES MOBILIARIOS S.A"/>
    <n v="1"/>
    <n v="0.75"/>
    <n v="38.17"/>
  </r>
  <r>
    <x v="20"/>
    <x v="1"/>
    <x v="11"/>
    <x v="2"/>
    <n v="1.2070588235294117"/>
    <s v="BTLG11 - BTG PACTUAL LOGISTICA FUNDO DE INVESTIMENTO IMOBILIARIO"/>
    <s v="25/01/2022"/>
    <s v="Rendimento"/>
    <s v="SANTANDER CORRETORA DE CAMBIO E VALORES MOBILIARIOS S.A"/>
    <n v="1"/>
    <n v="0.72"/>
    <n v="46.08"/>
  </r>
  <r>
    <x v="3"/>
    <x v="1"/>
    <x v="11"/>
    <x v="2"/>
    <n v="1.2070588235294117"/>
    <s v="XPML11 - XP MALLS FDO INV IMOB FII"/>
    <s v="25/01/2022"/>
    <s v="Rendimento"/>
    <s v="SANTANDER CORRETORA DE CAMBIO E VALORES MOBILIARIOS S.A"/>
    <n v="1"/>
    <n v="0.85"/>
    <n v="28.9"/>
  </r>
  <r>
    <x v="21"/>
    <x v="1"/>
    <x v="11"/>
    <x v="2"/>
    <n v="1.2070588235294117"/>
    <s v="IRDM11 - FII IRIDIUM RECEBIVEIS IMOBILIARIOS"/>
    <s v="18/01/2022"/>
    <s v="Rendimento"/>
    <s v="SANTANDER CORRETORA DE CAMBIO E VALORES MOBILIARIOS S.A"/>
    <n v="1"/>
    <n v="1.43"/>
    <n v="69.819999999999993"/>
  </r>
  <r>
    <x v="17"/>
    <x v="0"/>
    <x v="11"/>
    <x v="2"/>
    <n v="1.2070588235294117"/>
    <s v="TRPL4 - CTEEP - CIA TRANSMISSÃO ENERGIA ELÉTRICA PAULISTA"/>
    <s v="18/01/2022"/>
    <s v="Juros Sobre Capital Próprio"/>
    <s v="SANTANDER CORRETORA DE CAMBIO E VALORES MOBILIARIOS S.A"/>
    <n v="1"/>
    <n v="0.17"/>
    <n v="29.56"/>
  </r>
  <r>
    <x v="5"/>
    <x v="1"/>
    <x v="11"/>
    <x v="2"/>
    <n v="1.2070588235294117"/>
    <s v="BCFF11 - FDO INV IMOB - FII BTG PACTUAL FUNDO DE FUNDOS"/>
    <s v="14/01/2022"/>
    <s v="Rendimento"/>
    <s v="SANTANDER CORRETORA DE CAMBIO E VALORES MOBILIARIOS S.A"/>
    <n v="1"/>
    <n v="0.54"/>
    <n v="31.48"/>
  </r>
  <r>
    <x v="6"/>
    <x v="1"/>
    <x v="11"/>
    <x v="2"/>
    <n v="1.2070588235294117"/>
    <s v="BRCR11 - FDO INV IMOB - FII BTG PACTUAL CORPORATE OFFICE FUND"/>
    <s v="14/01/2022"/>
    <s v="Rendimento"/>
    <s v="SANTANDER CORRETORA DE CAMBIO E VALORES MOBILIARIOS S.A"/>
    <n v="1"/>
    <n v="0.5"/>
    <n v="29.5"/>
  </r>
  <r>
    <x v="22"/>
    <x v="1"/>
    <x v="11"/>
    <x v="2"/>
    <n v="1.2070588235294117"/>
    <s v="HCTR11 - HECTARE CE - FUNDO DE INVESTIMENTO IMOBILIÁRIO"/>
    <s v="14/01/2022"/>
    <s v="Rendimento"/>
    <s v="SANTANDER CORRETORA DE CAMBIO E VALORES MOBILIARIOS S.A"/>
    <n v="1"/>
    <n v="1.6"/>
    <n v="75.2"/>
  </r>
  <r>
    <x v="7"/>
    <x v="1"/>
    <x v="11"/>
    <x v="2"/>
    <n v="1.2070588235294117"/>
    <s v="HGLG11 - CSHG LOGISTICA FUNDO DE INVESTIMENTO IMOBILIARIO - FII"/>
    <s v="14/01/2022"/>
    <s v="Rendimento"/>
    <s v="SANTANDER CORRETORA DE CAMBIO E VALORES MOBILIARIOS S.A"/>
    <n v="1"/>
    <n v="1.75"/>
    <n v="36.75"/>
  </r>
  <r>
    <x v="8"/>
    <x v="1"/>
    <x v="11"/>
    <x v="2"/>
    <n v="1.2070588235294117"/>
    <s v="HGRE11 - CSHG REAL ESTATE FDO INV IMOB - FII"/>
    <s v="14/01/2022"/>
    <s v="Rendimento"/>
    <s v="SANTANDER CORRETORA DE CAMBIO E VALORES MOBILIARIOS S.A"/>
    <n v="1"/>
    <n v="2.75"/>
    <n v="90.75"/>
  </r>
  <r>
    <x v="9"/>
    <x v="1"/>
    <x v="11"/>
    <x v="2"/>
    <n v="1.2070588235294117"/>
    <s v="HGRU11 - CSHG RENDA URBANA - FUNDO DE INVESTIMENTO IMOBILIARIO - FII"/>
    <s v="14/01/2022"/>
    <s v="Rendimento"/>
    <s v="SANTANDER CORRETORA DE CAMBIO E VALORES MOBILIARIOS S.A"/>
    <n v="1"/>
    <n v="0.76"/>
    <n v="25.08"/>
  </r>
  <r>
    <x v="10"/>
    <x v="1"/>
    <x v="11"/>
    <x v="2"/>
    <n v="1.2070588235294117"/>
    <s v="KNRI11 - KINEA RENDA IMOBILIÁRIA FDO INV IMOB - FII"/>
    <s v="14/01/2022"/>
    <s v="Rendimento"/>
    <s v="SANTANDER CORRETORA DE CAMBIO E VALORES MOBILIARIOS S.A"/>
    <n v="1"/>
    <n v="0.88"/>
    <n v="28.16"/>
  </r>
  <r>
    <x v="11"/>
    <x v="1"/>
    <x v="11"/>
    <x v="2"/>
    <n v="1.2070588235294117"/>
    <s v="MXRF11 - MAXI RENDA FUNDO DE INVESTIMENTO IMOBILIARIO - FII"/>
    <s v="14/01/2022"/>
    <s v="Rendimento"/>
    <s v="SANTANDER CORRETORA DE CAMBIO E VALORES MOBILIARIOS S.A"/>
    <n v="1"/>
    <n v="0.09"/>
    <n v="59.49"/>
  </r>
  <r>
    <x v="4"/>
    <x v="1"/>
    <x v="11"/>
    <x v="2"/>
    <n v="1.2070588235294117"/>
    <s v="RBVA11 - FDO INV IMOB RIO BRAVO RENDA VAREJO - FII"/>
    <s v="14/01/2022"/>
    <s v="Rendimento"/>
    <s v="SANTANDER CORRETORA DE CAMBIO E VALORES MOBILIARIOS S.A"/>
    <n v="1"/>
    <n v="0.91"/>
    <n v="40.04"/>
  </r>
  <r>
    <x v="13"/>
    <x v="1"/>
    <x v="11"/>
    <x v="2"/>
    <n v="1.2070588235294117"/>
    <s v="VINO11 - VINCI OFFICES FUNDO DE INVESTIMENTO IMOBILIARIO"/>
    <s v="14/01/2022"/>
    <s v="Rendimento"/>
    <s v="SANTANDER CORRETORA DE CAMBIO E VALORES MOBILIARIOS S.A"/>
    <n v="1"/>
    <n v="0.5"/>
    <n v="37"/>
  </r>
  <r>
    <x v="18"/>
    <x v="0"/>
    <x v="11"/>
    <x v="2"/>
    <n v="1.2070588235294117"/>
    <s v="B3SA3 - B3 S.A. – BRASIL, BOLSA, BALCÃO"/>
    <s v="07/01/2022"/>
    <s v="Juros Sobre Capital Próprio"/>
    <s v="SANTANDER CORRETORA DE CAMBIO E VALORES MOBILIARIOS S.A"/>
    <n v="1"/>
    <n v="0.05"/>
    <n v="15.65"/>
  </r>
  <r>
    <x v="15"/>
    <x v="1"/>
    <x v="11"/>
    <x v="2"/>
    <n v="1.2070588235294117"/>
    <s v="LVBI11 - FII VBI LOG "/>
    <s v="07/01/2022"/>
    <s v="Rendimento"/>
    <s v="SANTANDER CORRETORA DE CAMBIO E VALORES MOBILIARIOS S.A"/>
    <n v="1"/>
    <n v="0.71"/>
    <n v="24.85"/>
  </r>
  <r>
    <x v="16"/>
    <x v="0"/>
    <x v="4"/>
    <x v="2"/>
    <n v="1.2070588235294117"/>
    <s v="BBAS3 - BANCO DO BRASIL S/A"/>
    <s v="31/08/2022"/>
    <s v="Rendimento"/>
    <s v="SANTANDER CORRETORA DE CAMBIO E VALORES MOBILIARIOS S.A"/>
    <n v="1"/>
    <n v="0"/>
    <n v="1.03"/>
  </r>
  <r>
    <x v="16"/>
    <x v="0"/>
    <x v="4"/>
    <x v="2"/>
    <n v="1.2070588235294117"/>
    <s v="BBAS3 - BANCO DO BRASIL S/A"/>
    <s v="31/08/2022"/>
    <s v="Rendimento"/>
    <s v="SANTANDER CORRETORA DE CAMBIO E VALORES MOBILIARIOS S.A"/>
    <n v="1"/>
    <n v="0.01"/>
    <n v="2.94"/>
  </r>
  <r>
    <x v="16"/>
    <x v="0"/>
    <x v="4"/>
    <x v="2"/>
    <n v="1.2070588235294117"/>
    <s v="BBAS3 - BANCO DO BRASIL S/A"/>
    <s v="31/08/2022"/>
    <s v="Dividendo"/>
    <s v="SANTANDER CORRETORA DE CAMBIO E VALORES MOBILIARIOS S.A"/>
    <n v="1"/>
    <n v="0.2"/>
    <n v="60.05"/>
  </r>
  <r>
    <x v="16"/>
    <x v="0"/>
    <x v="4"/>
    <x v="2"/>
    <n v="1.2070588235294117"/>
    <s v="BBAS3 - BANCO DO BRASIL S/A"/>
    <s v="31/08/2022"/>
    <s v="Juros Sobre Capital Próprio"/>
    <s v="SANTANDER CORRETORA DE CAMBIO E VALORES MOBILIARIOS S.A"/>
    <n v="1"/>
    <n v="0.56999999999999995"/>
    <n v="145.52000000000001"/>
  </r>
  <r>
    <x v="1"/>
    <x v="0"/>
    <x v="4"/>
    <x v="2"/>
    <n v="1.2070588235294117"/>
    <s v="TAEE4 - TRANSMISSORA ALIANCA DE ENERGIA ELETRICA S/A"/>
    <s v="26/08/2022"/>
    <s v="Dividendo"/>
    <s v="SANTANDER CORRETORA DE CAMBIO E VALORES MOBILIARIOS S.A"/>
    <n v="1"/>
    <n v="0.3"/>
    <n v="209.15"/>
  </r>
  <r>
    <x v="19"/>
    <x v="1"/>
    <x v="4"/>
    <x v="2"/>
    <n v="1.2070588235294117"/>
    <s v="ALZR11 - ALIANZA TRUST RENDA IMOBILIARIA - FUNDO DE INVESTIMENTO IMOBILIARIO"/>
    <s v="25/08/2022"/>
    <s v="Rendimento"/>
    <s v="SANTANDER CORRETORA DE CAMBIO E VALORES MOBILIARIOS S.A"/>
    <n v="1"/>
    <n v="0.78"/>
    <n v="53.95"/>
  </r>
  <r>
    <x v="20"/>
    <x v="1"/>
    <x v="4"/>
    <x v="2"/>
    <n v="1.2070588235294117"/>
    <s v="BTLG11 - BTG PACTUAL LOGISTICA FUNDO DE INVESTIMENTO IMOBILIARIO"/>
    <s v="25/08/2022"/>
    <s v="Rendimento"/>
    <s v="SANTANDER CORRETORA DE CAMBIO E VALORES MOBILIARIOS S.A"/>
    <n v="1"/>
    <n v="0.74"/>
    <n v="54.76"/>
  </r>
  <r>
    <x v="21"/>
    <x v="1"/>
    <x v="4"/>
    <x v="2"/>
    <n v="1.2070588235294117"/>
    <s v="IRDM11 - FII IRIDIUM RECEBIVEIS IMOBILIARIOS"/>
    <s v="16/08/2022"/>
    <s v="Rendimento"/>
    <s v="SANTANDER CORRETORA DE CAMBIO E VALORES MOBILIARIOS S.A"/>
    <n v="1"/>
    <n v="1.33"/>
    <n v="90.24"/>
  </r>
  <r>
    <x v="5"/>
    <x v="1"/>
    <x v="4"/>
    <x v="2"/>
    <n v="1.2070588235294117"/>
    <s v="BCFF11 - FDO INV IMOB - FII BTG PACTUAL FUNDO DE FUNDOS"/>
    <s v="12/08/2022"/>
    <s v="Rendimento"/>
    <s v="SANTANDER CORRETORA DE CAMBIO E VALORES MOBILIARIOS S.A"/>
    <n v="1"/>
    <n v="0.56000000000000005"/>
    <n v="68.88"/>
  </r>
  <r>
    <x v="6"/>
    <x v="1"/>
    <x v="4"/>
    <x v="2"/>
    <n v="1.2070588235294117"/>
    <s v="BRCR11 - FDO INV IMOB - FII BTG PACTUAL CORPORATE OFFICE FUND"/>
    <s v="12/08/2022"/>
    <s v="Rendimento"/>
    <s v="SANTANDER CORRETORA DE CAMBIO E VALORES MOBILIARIOS S.A"/>
    <n v="1"/>
    <n v="0.47"/>
    <n v="62.04"/>
  </r>
  <r>
    <x v="22"/>
    <x v="1"/>
    <x v="4"/>
    <x v="2"/>
    <n v="1.2070588235294117"/>
    <s v="HCTR11 - HECTARE CE - FUNDO DE INVESTIMENTO IMOBILIÁRIO"/>
    <s v="12/08/2022"/>
    <s v="Rendimento"/>
    <s v="SANTANDER CORRETORA DE CAMBIO E VALORES MOBILIARIOS S.A"/>
    <n v="1"/>
    <n v="1.25"/>
    <n v="80"/>
  </r>
  <r>
    <x v="7"/>
    <x v="1"/>
    <x v="4"/>
    <x v="2"/>
    <n v="1.2070588235294117"/>
    <s v="HGLG11 - CSHG LOGISTICA FUNDO DE INVESTIMENTO IMOBILIARIO - FII"/>
    <s v="12/08/2022"/>
    <s v="Rendimento"/>
    <s v="SANTANDER CORRETORA DE CAMBIO E VALORES MOBILIARIOS S.A"/>
    <n v="1"/>
    <n v="1.1000000000000001"/>
    <n v="56.1"/>
  </r>
  <r>
    <x v="8"/>
    <x v="1"/>
    <x v="4"/>
    <x v="2"/>
    <n v="1.2070588235294117"/>
    <s v="HGRE11 - CSHG REAL ESTATE FDO INV IMOB - FII"/>
    <s v="12/08/2022"/>
    <s v="Rendimento"/>
    <s v="SANTANDER CORRETORA DE CAMBIO E VALORES MOBILIARIOS S.A"/>
    <n v="1"/>
    <n v="0.78"/>
    <n v="51.48"/>
  </r>
  <r>
    <x v="9"/>
    <x v="1"/>
    <x v="4"/>
    <x v="2"/>
    <n v="1.2070588235294117"/>
    <s v="HGRU11 - CSHG RENDA URBANA - FUNDO DE INVESTIMENTO IMOBILIARIO - FII"/>
    <s v="12/08/2022"/>
    <s v="Rendimento"/>
    <s v="SANTANDER CORRETORA DE CAMBIO E VALORES MOBILIARIOS S.A"/>
    <n v="1"/>
    <n v="0.82"/>
    <n v="60.68"/>
  </r>
  <r>
    <x v="10"/>
    <x v="1"/>
    <x v="4"/>
    <x v="2"/>
    <n v="1.2070588235294117"/>
    <s v="KNRI11 - KINEA RENDA IMOBILIÁRIA FDO INV IMOB - FII"/>
    <s v="12/08/2022"/>
    <s v="Rendimento"/>
    <s v="SANTANDER CORRETORA DE CAMBIO E VALORES MOBILIARIOS S.A"/>
    <n v="1"/>
    <n v="0.91"/>
    <n v="56.42"/>
  </r>
  <r>
    <x v="11"/>
    <x v="1"/>
    <x v="4"/>
    <x v="2"/>
    <n v="1.2070588235294117"/>
    <s v="MXRF11 - MAXI RENDA FUNDO DE INVESTIMENTO IMOBILIARIO - FII"/>
    <s v="12/08/2022"/>
    <s v="Rendimento"/>
    <s v="SANTANDER CORRETORA DE CAMBIO E VALORES MOBILIARIOS S.A"/>
    <n v="1"/>
    <n v="0.12"/>
    <n v="120"/>
  </r>
  <r>
    <x v="15"/>
    <x v="1"/>
    <x v="4"/>
    <x v="2"/>
    <n v="1.2070588235294117"/>
    <s v="LVBI11 - FII VBI LOG "/>
    <s v="05/08/2022"/>
    <s v="Rendimento"/>
    <s v="SANTANDER CORRETORA DE CAMBIO E VALORES MOBILIARIOS S.A"/>
    <n v="1"/>
    <n v="0.74"/>
    <n v="57.72"/>
  </r>
  <r>
    <x v="16"/>
    <x v="0"/>
    <x v="3"/>
    <x v="2"/>
    <n v="1.2070588235294117"/>
    <s v="BBAS3 - BANCO DO BRASIL S/A"/>
    <d v="2022-09-30T00:00:00"/>
    <s v="Juros Sobre Capital Próprio"/>
    <s v="SANTANDER CCVM S/A"/>
    <n v="1"/>
    <n v="0.27"/>
    <n v="69.81"/>
  </r>
  <r>
    <x v="19"/>
    <x v="1"/>
    <x v="3"/>
    <x v="2"/>
    <n v="1.2070588235294117"/>
    <s v="ALZR11 - ALIANZA TRUST RENDA IMOBILIARIA - FUNDO DE INVESTIMENTO IMOBILIARIO"/>
    <d v="2022-09-23T00:00:00"/>
    <s v="Rendimento"/>
    <s v="SANTANDER CCVM S/A"/>
    <n v="1"/>
    <n v="5.65"/>
    <n v="389.89"/>
  </r>
  <r>
    <x v="20"/>
    <x v="1"/>
    <x v="3"/>
    <x v="2"/>
    <n v="1.2070588235294117"/>
    <s v="BTLG11 - BTG PACTUAL LOGISTICA FUNDO DE INVESTIMENTO IMOBILIARIO"/>
    <d v="2022-09-23T00:00:00"/>
    <s v="Rendimento"/>
    <s v="SANTANDER CCVM S/A"/>
    <n v="1"/>
    <n v="0.74"/>
    <n v="58.46"/>
  </r>
  <r>
    <x v="3"/>
    <x v="1"/>
    <x v="3"/>
    <x v="2"/>
    <n v="1.2070588235294117"/>
    <s v="XPML11 - XP MALLS FDO INV IMOB FII"/>
    <d v="2022-09-23T00:00:00"/>
    <s v="Rendimento"/>
    <s v="SANTANDER CCVM S/A"/>
    <n v="1"/>
    <n v="0.73"/>
    <n v="65.7"/>
  </r>
  <r>
    <x v="21"/>
    <x v="1"/>
    <x v="3"/>
    <x v="2"/>
    <n v="1.2070588235294117"/>
    <s v="IRDM11 - FII IRIDIUM RECEBIVEIS IMOBILIARIOS"/>
    <d v="2022-09-19T00:00:00"/>
    <s v="Rendimento"/>
    <s v="SANTANDER CCVM S/A"/>
    <n v="1"/>
    <n v="1.27"/>
    <n v="93.61"/>
  </r>
  <r>
    <x v="5"/>
    <x v="1"/>
    <x v="3"/>
    <x v="2"/>
    <n v="1.2070588235294117"/>
    <s v="BCFF11 - FDO INV IMOB - FII BTG PACTUAL FUNDO DE FUNDOS"/>
    <d v="2022-09-15T00:00:00"/>
    <s v="Rendimento"/>
    <s v="SANTANDER CCVM S/A"/>
    <n v="1"/>
    <n v="0.56000000000000005"/>
    <n v="68.88"/>
  </r>
  <r>
    <x v="6"/>
    <x v="1"/>
    <x v="3"/>
    <x v="2"/>
    <n v="1.2070588235294117"/>
    <s v="BRCR11 - FDO INV IMOB - FII BTG PACTUAL CORPORATE OFFICE FUND"/>
    <d v="2022-09-15T00:00:00"/>
    <s v="Rendimento"/>
    <s v="SANTANDER CCVM S/A"/>
    <n v="1"/>
    <n v="0.47"/>
    <n v="62.04"/>
  </r>
  <r>
    <x v="22"/>
    <x v="1"/>
    <x v="3"/>
    <x v="2"/>
    <n v="1.2070588235294117"/>
    <s v="HCTR11 - HECTARE CE - FUNDO DE INVESTIMENTO IMOBILIÁRIO"/>
    <d v="2022-09-15T00:00:00"/>
    <s v="Rendimento"/>
    <s v="SANTANDER CCVM S/A"/>
    <n v="1"/>
    <n v="1.1000000000000001"/>
    <n v="77"/>
  </r>
  <r>
    <x v="7"/>
    <x v="1"/>
    <x v="3"/>
    <x v="2"/>
    <n v="1.2070588235294117"/>
    <s v="HGLG11 - CSHG LOGISTICA FUNDO DE INVESTIMENTO IMOBILIARIO - FII"/>
    <d v="2022-09-15T00:00:00"/>
    <s v="Rendimento"/>
    <s v="SANTANDER CCVM S/A"/>
    <n v="1"/>
    <n v="1.1000000000000001"/>
    <n v="56.1"/>
  </r>
  <r>
    <x v="8"/>
    <x v="1"/>
    <x v="3"/>
    <x v="2"/>
    <n v="1.2070588235294117"/>
    <s v="HGRE11 - CSHG REAL ESTATE FDO INV IMOB - FII"/>
    <d v="2022-09-15T00:00:00"/>
    <s v="Rendimento"/>
    <s v="SANTANDER CCVM S/A"/>
    <n v="1"/>
    <n v="0.78"/>
    <n v="51.48"/>
  </r>
  <r>
    <x v="9"/>
    <x v="1"/>
    <x v="3"/>
    <x v="2"/>
    <n v="1.2070588235294117"/>
    <s v="HGRU11 - CSHG RENDA URBANA - FUNDO DE INVESTIMENTO IMOBILIARIO - FII"/>
    <d v="2022-09-15T00:00:00"/>
    <s v="Rendimento"/>
    <s v="SANTANDER CCVM S/A"/>
    <n v="1"/>
    <n v="0.82"/>
    <n v="60.68"/>
  </r>
  <r>
    <x v="10"/>
    <x v="1"/>
    <x v="3"/>
    <x v="2"/>
    <n v="1.2070588235294117"/>
    <s v="KNRI11 - KINEA RENDA IMOBILIÁRIA FDO INV IMOB - FII"/>
    <d v="2022-09-15T00:00:00"/>
    <s v="Rendimento"/>
    <s v="SANTANDER CCVM S/A"/>
    <n v="1"/>
    <n v="0.91"/>
    <n v="60.97"/>
  </r>
  <r>
    <x v="11"/>
    <x v="1"/>
    <x v="3"/>
    <x v="2"/>
    <n v="1.2070588235294117"/>
    <s v="MXRF11 - MAXI RENDA FUNDO DE INVESTIMENTO IMOBILIARIO - FII"/>
    <d v="2022-09-15T00:00:00"/>
    <s v="Rendimento"/>
    <s v="SANTANDER CCVM S/A"/>
    <n v="1"/>
    <n v="0.11"/>
    <n v="110"/>
  </r>
  <r>
    <x v="4"/>
    <x v="1"/>
    <x v="3"/>
    <x v="2"/>
    <n v="1.2070588235294117"/>
    <s v="RBVA11 - FDO INV IMOB RIO BRAVO RENDA VAREJO - FII"/>
    <d v="2022-09-15T00:00:00"/>
    <s v="Rendimento"/>
    <s v="SANTANDER CCVM S/A"/>
    <n v="1"/>
    <n v="1.02"/>
    <n v="90.78"/>
  </r>
  <r>
    <x v="12"/>
    <x v="1"/>
    <x v="3"/>
    <x v="2"/>
    <n v="1.2070588235294117"/>
    <s v="VILG11 - FII VINCI LG"/>
    <d v="2022-09-15T00:00:00"/>
    <s v="Rendimento"/>
    <s v="SANTANDER CCVM S/A"/>
    <n v="1"/>
    <n v="0.72"/>
    <n v="57.6"/>
  </r>
  <r>
    <x v="13"/>
    <x v="1"/>
    <x v="3"/>
    <x v="2"/>
    <n v="1.2070588235294117"/>
    <s v="VINO11 - VINCI OFFICES FUNDO DE INVESTIMENTO IMOBILIARIO"/>
    <d v="2022-09-15T00:00:00"/>
    <s v="Rendimento"/>
    <s v="SANTANDER CCVM S/A"/>
    <n v="1"/>
    <n v="0.34"/>
    <n v="73.099999999999994"/>
  </r>
  <r>
    <x v="14"/>
    <x v="1"/>
    <x v="3"/>
    <x v="2"/>
    <n v="1.2070588235294117"/>
    <s v="XPLG11 - XP LOG FUNDO DE INVESTIMENTO IMOBILIARIO FII"/>
    <d v="2022-09-15T00:00:00"/>
    <s v="Rendimento"/>
    <s v="SANTANDER CCVM S/A"/>
    <n v="1"/>
    <n v="0.72"/>
    <n v="61.92"/>
  </r>
  <r>
    <x v="15"/>
    <x v="1"/>
    <x v="3"/>
    <x v="2"/>
    <n v="1.2070588235294117"/>
    <s v="LVBI11 - FII VBI LOG "/>
    <d v="2022-09-08T00:00:00"/>
    <s v="Rendimento"/>
    <s v="SANTANDER CCVM S/A"/>
    <n v="1"/>
    <n v="0.75"/>
    <n v="58.5"/>
  </r>
  <r>
    <x v="2"/>
    <x v="0"/>
    <x v="3"/>
    <x v="2"/>
    <n v="1.2070588235294117"/>
    <s v="SANB4 - BANCO SANTANDER (BRASIL) S.A."/>
    <d v="2022-09-06T00:00:00"/>
    <s v="Juros Sobre Capital Próprio"/>
    <s v="SANTANDER CCVM S/A"/>
    <n v="1"/>
    <n v="0.24"/>
    <n v="122.16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4">
  <r>
    <x v="0"/>
    <x v="0"/>
    <s v="MAXI RENDA FUNDO DE INVESTIMENTO IMOBILIARIO - FII"/>
    <x v="0"/>
    <n v="233"/>
    <n v="10.3"/>
    <n v="10.130000000000001"/>
    <n v="1.6781836130306038E-2"/>
    <n v="2360.29"/>
    <n v="2399.9"/>
    <n v="39.610000000000127"/>
    <n v="1.6781836130306038E-2"/>
    <n v="3.0286540277350452E-2"/>
    <s v="233 COTAS DE MAXI RENDA FUNDO DE INVESTIMENTO IMOBILIARIO - FII ,CÓDIGO DE NEGOCIAÇÃO: MXRF11. PREÇO MÉDIO DE R$ 10,13 E CUSTO TOTAL DE AQUISIÇÃO DE R$ 2360,29"/>
  </r>
  <r>
    <x v="1"/>
    <x v="0"/>
    <s v="KINEA RENDA IMOBILIARIA FII"/>
    <x v="1"/>
    <n v="30"/>
    <n v="152.80000000000001"/>
    <n v="149.57"/>
    <n v="2.1595239687103085E-2"/>
    <n v="4487.0999999999995"/>
    <n v="4584"/>
    <n v="96.900000000000546"/>
    <n v="2.1595239687103085E-2"/>
    <n v="5.7849702334003279E-2"/>
    <s v="30 COTAS DE KINEA RENDA IMOBILIARIA FII ,CÓDIGO DE NEGOCIAÇÃO: KNRI11. PREÇO MÉDIO DE R$ 149,57 E CUSTO TOTAL DE AQUISIÇÃO DE R$ 4487,1"/>
  </r>
  <r>
    <x v="2"/>
    <x v="0"/>
    <s v="CSHG RENDA URBANA-FI IMOBILIARIO-FII"/>
    <x v="1"/>
    <n v="24"/>
    <n v="129.35"/>
    <n v="118.54"/>
    <n v="9.1192846296608732E-2"/>
    <n v="2844.96"/>
    <n v="3104.3999999999996"/>
    <n v="259.4399999999996"/>
    <n v="9.119284629660851E-2"/>
    <n v="3.9177272235095935E-2"/>
    <s v="24 COTAS DE CSHG RENDA URBANA-FI IMOBILIARIO-FII ,CÓDIGO DE NEGOCIAÇÃO: HGRU11. PREÇO MÉDIO DE R$ 118,54 E CUSTO TOTAL DE AQUISIÇÃO DE R$ 2844,96"/>
  </r>
  <r>
    <x v="3"/>
    <x v="0"/>
    <s v="VINCI OFFICES FDO INV IMOB - FII VINC COR"/>
    <x v="2"/>
    <n v="60"/>
    <n v="50"/>
    <n v="53.83"/>
    <n v="-7.1149916403492441E-2"/>
    <n v="3229.7999999999997"/>
    <n v="3000"/>
    <n v="-229.79999999999973"/>
    <n v="-7.1149916403492441E-2"/>
    <n v="3.7859752836389579E-2"/>
    <s v="60 COTAS DE VINCI OFFICES FDO INV IMOB - FII VINC COR ,CÓDIGO DE NEGOCIAÇÃO: VINO11. PREÇO MÉDIO DE R$ 53,83 E CUSTO TOTAL DE AQUISIÇÃO DE R$ 3229,8"/>
  </r>
  <r>
    <x v="4"/>
    <x v="0"/>
    <s v="XP MALLS FUNDO DE INVESTIMENTO IMOBILIARIO"/>
    <x v="3"/>
    <n v="22"/>
    <n v="103.56"/>
    <n v="105.35"/>
    <n v="-1.6990982439487379E-2"/>
    <n v="2317.6999999999998"/>
    <n v="2278.3200000000002"/>
    <n v="-39.379999999999654"/>
    <n v="-1.6990982439487268E-2"/>
    <n v="2.8752210694067703E-2"/>
    <s v="22 COTAS DE XP MALLS FUNDO DE INVESTIMENTO IMOBILIARIO ,CÓDIGO DE NEGOCIAÇÃO: XPML11. PREÇO MÉDIO DE R$ 105,35 E CUSTO TOTAL DE AQUISIÇÃO DE R$ 2317,7"/>
  </r>
  <r>
    <x v="5"/>
    <x v="0"/>
    <s v="CSHG REAL ESTATE FI IMOBILIARIO-FII"/>
    <x v="2"/>
    <n v="28"/>
    <n v="144.12"/>
    <n v="139.21"/>
    <n v="3.5270454708713483E-2"/>
    <n v="3897.88"/>
    <n v="4035.36"/>
    <n v="137.48000000000002"/>
    <n v="3.5270454708713483E-2"/>
    <n v="5.0925910735284352E-2"/>
    <s v="28 COTAS DE CSHG REAL ESTATE FI IMOBILIARIO-FII ,CÓDIGO DE NEGOCIAÇÃO: HGRE11. PREÇO MÉDIO DE R$ 139,21 E CUSTO TOTAL DE AQUISIÇÃO DE R$ 3897,88"/>
  </r>
  <r>
    <x v="6"/>
    <x v="0"/>
    <s v="CSHG LOGISTICA FND DE INVSTMNT IMBLR FII"/>
    <x v="4"/>
    <n v="21"/>
    <n v="171.5"/>
    <n v="166.39"/>
    <n v="3.071098022717722E-2"/>
    <n v="3494.1899999999996"/>
    <n v="3601.5"/>
    <n v="107.3100000000004"/>
    <n v="3.071098022717722E-2"/>
    <n v="4.5450633280085688E-2"/>
    <s v="21 COTAS DE CSHG LOGISTICA FND DE INVSTMNT IMBLR FII ,CÓDIGO DE NEGOCIAÇÃO: HGLG11. PREÇO MÉDIO DE R$ 166,39 E CUSTO TOTAL DE AQUISIÇÃO DE R$ 3494,19"/>
  </r>
  <r>
    <x v="7"/>
    <x v="0"/>
    <s v="FI IMOBILIARIO FII BTG PACTUAL FUNDO DE FUNDOS"/>
    <x v="5"/>
    <n v="54"/>
    <n v="71.680000000000007"/>
    <n v="77.819999999999993"/>
    <n v="-7.8900025700333942E-2"/>
    <n v="4202.28"/>
    <n v="3870.7200000000003"/>
    <n v="-331.55999999999949"/>
    <n v="-7.8900025700333942E-2"/>
    <n v="4.8848167499623292E-2"/>
    <s v="54 COTAS DE FI IMOBILIARIO FII BTG PACTUAL FUNDO DE FUNDOS ,CÓDIGO DE NEGOCIAÇÃO: BCFF11. PREÇO MÉDIO DE R$ 77,82 E CUSTO TOTAL DE AQUISIÇÃO DE R$ 4202,28"/>
  </r>
  <r>
    <x v="8"/>
    <x v="0"/>
    <s v="FUNDO DE INVESTIMENTO IMOBILIARIO - VBI LOGISTICO"/>
    <x v="4"/>
    <n v="29"/>
    <n v="116"/>
    <n v="107.01"/>
    <n v="8.4010840108400986E-2"/>
    <n v="3103.29"/>
    <n v="3364"/>
    <n v="260.71000000000004"/>
    <n v="8.4010840108400986E-2"/>
    <n v="4.2453402847204849E-2"/>
    <s v="29 COTAS DE FUNDO DE INVESTIMENTO IMOBILIARIO - VBI LOGISTICO ,CÓDIGO DE NEGOCIAÇÃO: LVBI11. PREÇO MÉDIO DE R$ 107,01 E CUSTO TOTAL DE AQUISIÇÃO DE R$ 3103,29"/>
  </r>
  <r>
    <x v="9"/>
    <x v="0"/>
    <s v="ALIANZA TRUST RENDA IMOBILIARIA FII"/>
    <x v="4"/>
    <n v="30"/>
    <n v="117.23"/>
    <n v="110.96"/>
    <n v="5.6506849315068663E-2"/>
    <n v="3328.7999999999997"/>
    <n v="3516.9"/>
    <n v="188.10000000000036"/>
    <n v="5.6506849315068663E-2"/>
    <n v="4.4382988250099502E-2"/>
    <s v="30 COTAS DE ALIANZA TRUST RENDA IMOBILIARIA FII ,CÓDIGO DE NEGOCIAÇÃO: ALZR11. PREÇO MÉDIO DE R$ 110,96 E CUSTO TOTAL DE AQUISIÇÃO DE R$ 3328,8"/>
  </r>
  <r>
    <x v="10"/>
    <x v="0"/>
    <s v="XP LOG FUNDO DE INVESTIMENTO IMOBILIARIO-FII"/>
    <x v="4"/>
    <n v="34"/>
    <n v="109.87"/>
    <n v="112.52"/>
    <n v="-2.3551368645574056E-2"/>
    <n v="3825.68"/>
    <n v="3735.58"/>
    <n v="-90.099999999999909"/>
    <n v="-2.3551368645574056E-2"/>
    <n v="4.7142711833520062E-2"/>
    <s v="34 COTAS DE XP LOG FUNDO DE INVESTIMENTO IMOBILIARIO-FII ,CÓDIGO DE NEGOCIAÇÃO: XPLG11. PREÇO MÉDIO DE R$ 112,52 E CUSTO TOTAL DE AQUISIÇÃO DE R$ 3825,68"/>
  </r>
  <r>
    <x v="11"/>
    <x v="0"/>
    <s v="VINCI LOGISTICA FUNDO DE INVESTIMENTO IMOBILIARIO"/>
    <x v="4"/>
    <n v="27"/>
    <n v="110.43"/>
    <n v="108.71"/>
    <n v="1.5821911507681197E-2"/>
    <n v="2935.1699999999996"/>
    <n v="2981.61"/>
    <n v="46.440000000000509"/>
    <n v="1.5821911507681197E-2"/>
    <n v="3.7627672551502511E-2"/>
    <s v="27 COTAS DE VINCI LOGISTICA FUNDO DE INVESTIMENTO IMOBILIARIO ,CÓDIGO DE NEGOCIAÇÃO: VILG11. PREÇO MÉDIO DE R$ 108,71 E CUSTO TOTAL DE AQUISIÇÃO DE R$ 2935,17"/>
  </r>
  <r>
    <x v="12"/>
    <x v="0"/>
    <s v="FII BTG PACTUAL CORPORATE OFFICE FUND"/>
    <x v="2"/>
    <n v="53"/>
    <n v="69.790000000000006"/>
    <n v="74.37"/>
    <n v="-6.1583972031733158E-2"/>
    <n v="3941.61"/>
    <n v="3698.8700000000003"/>
    <n v="-242.73999999999978"/>
    <n v="-6.1583972031733158E-2"/>
    <n v="4.6679434657978781E-2"/>
    <s v="53 COTAS DE FII BTG PACTUAL CORPORATE OFFICE FUND ,CÓDIGO DE NEGOCIAÇÃO: BRCR11. PREÇO MÉDIO DE R$ 74,37 E CUSTO TOTAL DE AQUISIÇÃO DE R$ 3941,61"/>
  </r>
  <r>
    <x v="13"/>
    <x v="0"/>
    <s v="FII RIO BRAVO RENDA VAREJO-FII"/>
    <x v="2"/>
    <n v="31"/>
    <n v="97.07"/>
    <n v="106.6"/>
    <n v="-8.9399624765478469E-2"/>
    <n v="3304.6"/>
    <n v="3009.1699999999996"/>
    <n v="-295.43000000000029"/>
    <n v="-8.9399624765478469E-2"/>
    <n v="3.7975477480892805E-2"/>
    <s v="31 COTAS DE FII RIO BRAVO RENDA VAREJO-FII ,CÓDIGO DE NEGOCIAÇÃO: RBVA11. PREÇO MÉDIO DE R$ 106,6 E CUSTO TOTAL DE AQUISIÇÃO DE R$ 3304,6"/>
  </r>
  <r>
    <x v="14"/>
    <x v="0"/>
    <s v="BTG PACTUAL LOGISTICA FI IMOBILIARIO"/>
    <x v="4"/>
    <n v="25"/>
    <n v="103"/>
    <n v="108.34"/>
    <n v="-4.9289274506184255E-2"/>
    <n v="2708.5"/>
    <n v="2575"/>
    <n v="-133.5"/>
    <n v="-4.9289274506184255E-2"/>
    <n v="3.2496287851234387E-2"/>
    <s v="25 COTAS DE BTG PACTUAL LOGISTICA FI IMOBILIARIO ,CÓDIGO DE NEGOCIAÇÃO: BTLG11. PREÇO MÉDIO DE R$ 108,34 E CUSTO TOTAL DE AQUISIÇÃO DE R$ 2708,5"/>
  </r>
  <r>
    <x v="15"/>
    <x v="0"/>
    <s v="FI IMOBILIARIO IRIDIUM RECEBIVEIS IMOBILIARIOS"/>
    <x v="0"/>
    <n v="25"/>
    <n v="103.01"/>
    <n v="108.36"/>
    <n v="-4.9372462163159825E-2"/>
    <n v="2709"/>
    <n v="2575.25"/>
    <n v="-133.75"/>
    <n v="-4.9372462163159825E-2"/>
    <n v="3.2499442830637423E-2"/>
    <s v="25 COTAS DE FI IMOBILIARIO IRIDIUM RECEBIVEIS IMOBILIARIOS ,CÓDIGO DE NEGOCIAÇÃO: IRDM11. PREÇO MÉDIO DE R$ 108,36 E CUSTO TOTAL DE AQUISIÇÃO DE R$ 2709"/>
  </r>
  <r>
    <x v="16"/>
    <x v="0"/>
    <s v="HECTARE CE - FI IMOBILIARIO"/>
    <x v="0"/>
    <n v="35"/>
    <n v="101.88"/>
    <n v="126.42"/>
    <n v="-0.1941148552444234"/>
    <n v="4424.7"/>
    <n v="3565.7999999999997"/>
    <n v="-858.90000000000009"/>
    <n v="-0.1941148552444234"/>
    <n v="4.5000102221332654E-2"/>
    <s v="35 COTAS DE HECTARE CE - FI IMOBILIARIO ,CÓDIGO DE NEGOCIAÇÃO: HCTR11. PREÇO MÉDIO DE R$ 126,42 E CUSTO TOTAL DE AQUISIÇÃO DE R$ 4424,7"/>
  </r>
  <r>
    <x v="17"/>
    <x v="1"/>
    <s v="BANCO DO BRASIL SA"/>
    <x v="6"/>
    <n v="110"/>
    <n v="38.520000000000003"/>
    <n v="30.71"/>
    <n v="0.25431455551937487"/>
    <n v="3378.1"/>
    <n v="4237.2000000000007"/>
    <n v="859.10000000000082"/>
    <n v="0.2543145555193751"/>
    <n v="5.3473114906116649E-2"/>
    <s v="110 COTAS DE BANCO DO BRASIL SA ,CÓDIGO DE NEGOCIAÇÃO: BBAS3. PREÇO MÉDIO DE R$ 30,71 E CUSTO TOTAL DE AQUISIÇÃO DE R$ 3378,1"/>
  </r>
  <r>
    <x v="18"/>
    <x v="1"/>
    <s v="B3 SA BRASIL BOLSA BALCAO"/>
    <x v="6"/>
    <n v="285"/>
    <n v="13.05"/>
    <n v="12.78"/>
    <n v="2.1126760563380476E-2"/>
    <n v="3642.2999999999997"/>
    <n v="3719.25"/>
    <n v="76.950000000000273"/>
    <n v="2.1126760563380254E-2"/>
    <n v="4.693662857891398E-2"/>
    <s v="285 COTAS DE B3 SA BRASIL BOLSA BALCAO ,CÓDIGO DE NEGOCIAÇÃO: B3SA3. PREÇO MÉDIO DE R$ 12,78 E CUSTO TOTAL DE AQUISIÇÃO DE R$ 3642,3"/>
  </r>
  <r>
    <x v="19"/>
    <x v="1"/>
    <s v="TRANSMISSORA ALIANCA ENERGIA ELETRICA SA PREFERENCE SHARES"/>
    <x v="7"/>
    <n v="266"/>
    <n v="13.04"/>
    <n v="11.62"/>
    <n v="0.12220309810671259"/>
    <n v="3090.9199999999996"/>
    <n v="3468.64"/>
    <n v="377.72000000000025"/>
    <n v="0.12220309810671259"/>
    <n v="4.3773951026138118E-2"/>
    <s v="266 COTAS DE TRANSMISSORA ALIANCA ENERGIA ELETRICA SA PREFERENCE SHARES ,CÓDIGO DE NEGOCIAÇÃO: TAEE4. PREÇO MÉDIO DE R$ 11,62 E CUSTO TOTAL DE AQUISIÇÃO DE R$ 3090,92"/>
  </r>
  <r>
    <x v="20"/>
    <x v="1"/>
    <s v="BANCO SANTANDER BRASIL SA PREFERENCE SHARES"/>
    <x v="6"/>
    <n v="245"/>
    <n v="16"/>
    <n v="18.010000000000002"/>
    <n v="-0.11160466407551373"/>
    <n v="4412.4500000000007"/>
    <n v="3920"/>
    <n v="-492.45000000000073"/>
    <n v="-0.11160466407551373"/>
    <n v="4.9470077039549053E-2"/>
    <s v="245 COTAS DE BANCO SANTANDER BRASIL SA PREFERENCE SHARES ,CÓDIGO DE NEGOCIAÇÃO: SANB4. PREÇO MÉDIO DE R$ 18,01 E CUSTO TOTAL DE AQUISIÇÃO DE R$ 4412,45"/>
  </r>
  <r>
    <x v="21"/>
    <x v="1"/>
    <s v="CTEEP CIA TRANSM ENERGIA ELETR PAULISTA PREFERENCE SHARES"/>
    <x v="7"/>
    <n v="155"/>
    <n v="22.97"/>
    <n v="22.62"/>
    <n v="1.5473032714411916E-2"/>
    <n v="3506.1000000000004"/>
    <n v="3560.35"/>
    <n v="54.249999999999545"/>
    <n v="1.5473032714411916E-2"/>
    <n v="4.4931323670346544E-2"/>
    <s v="155 COTAS DE CTEEP CIA TRANSM ENERGIA ELETR PAULISTA PREFERENCE SHARES ,CÓDIGO DE NEGOCIAÇÃO: TRPL4. PREÇO MÉDIO DE R$ 22,62 E CUSTO TOTAL DE AQUISIÇÃO DE R$ 3506,1"/>
  </r>
  <r>
    <x v="22"/>
    <x v="1"/>
    <s v="ENERGY OF MINAS GERAIS CO"/>
    <x v="7"/>
    <n v="110"/>
    <n v="16.2"/>
    <n v="15.45"/>
    <n v="4.8543689320388328E-2"/>
    <n v="1699.5"/>
    <n v="1782"/>
    <n v="82.5"/>
    <n v="4.8543689320388328E-2"/>
    <n v="2.248869318481541E-2"/>
    <s v="110 COTAS DE ENERGY OF MINAS GERAIS CO ,CÓDIGO DE NEGOCIAÇÃO: CMIG3. PREÇO MÉDIO DE R$ 15,45 E CUSTO TOTAL DE AQUISIÇÃO DE R$ 1699,5"/>
  </r>
  <r>
    <x v="23"/>
    <x v="1"/>
    <s v="COMPANHIA DE SANEAMENTO PARANA SANEPAR"/>
    <x v="8"/>
    <n v="800"/>
    <n v="3.32"/>
    <n v="4.1100000000000003"/>
    <n v="-0.19221411192214122"/>
    <n v="3288.0000000000005"/>
    <n v="2656"/>
    <n v="-632.00000000000045"/>
    <n v="-0.19221411192214122"/>
    <n v="3.3518501177816906E-2"/>
    <s v="800 COTAS DE COMPANHIA DE SANEAMENTO PARANA SANEPAR ,CÓDIGO DE NEGOCIAÇÃO: SAPR3. PREÇO MÉDIO DE R$ 4,11 E CUSTO TOTAL DE AQUISIÇÃO DE R$ 328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8919D5-D95E-4132-9A28-879EBA7D2CF5}" name="Tabela dinâmica3" cacheId="50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9">
  <location ref="E3:F21" firstHeaderRow="1" firstDataRow="1" firstDataCol="1" rowPageCount="1" colPageCount="1"/>
  <pivotFields count="14">
    <pivotField axis="axisRow" showAll="0">
      <items count="26">
        <item x="9"/>
        <item x="18"/>
        <item x="17"/>
        <item x="7"/>
        <item x="12"/>
        <item x="14"/>
        <item m="1" x="24"/>
        <item x="22"/>
        <item x="16"/>
        <item x="6"/>
        <item x="5"/>
        <item x="2"/>
        <item x="15"/>
        <item x="1"/>
        <item x="8"/>
        <item x="0"/>
        <item x="13"/>
        <item x="20"/>
        <item x="23"/>
        <item x="19"/>
        <item x="21"/>
        <item x="11"/>
        <item x="3"/>
        <item x="10"/>
        <item x="4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numFmtId="167" showAll="0"/>
    <pivotField numFmtId="44" showAll="0"/>
    <pivotField numFmtId="44" showAll="0"/>
    <pivotField numFmtId="9" showAll="0"/>
    <pivotField numFmtId="164" showAll="0"/>
    <pivotField dataField="1" numFmtId="164" showAll="0"/>
    <pivotField numFmtId="164" showAll="0"/>
    <pivotField numFmtId="9" showAll="0"/>
    <pivotField numFmtId="9" showAll="0"/>
    <pivotField showAll="0"/>
  </pivotFields>
  <rowFields count="1">
    <field x="0"/>
  </rowFields>
  <rowItems count="18">
    <i>
      <x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21"/>
    </i>
    <i>
      <x v="22"/>
    </i>
    <i>
      <x v="23"/>
    </i>
    <i>
      <x v="24"/>
    </i>
    <i t="grand">
      <x/>
    </i>
  </rowItems>
  <colItems count="1">
    <i/>
  </colItems>
  <pageFields count="1">
    <pageField fld="1" item="1" hier="-1"/>
  </pageFields>
  <dataFields count="1">
    <dataField name="Soma de PATRIMONIO ATUAL" fld="9" baseField="0" baseItem="0"/>
  </dataFields>
  <formats count="1">
    <format dxfId="42">
      <pivotArea grandRow="1" outline="0" collapsedLevelsAreSubtotals="1" fieldPosition="0"/>
    </format>
  </formats>
  <chartFormats count="18">
    <chartFormat chart="8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8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8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29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8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8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8" format="34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8" format="35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8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7F228F-232B-4CF5-A1E5-99F88CBFF90B}" name="Tabela dinâmica17" cacheId="50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2">
  <location ref="V3:Y11" firstHeaderRow="0" firstDataRow="1" firstDataCol="1" rowPageCount="1" colPageCount="1"/>
  <pivotFields count="14">
    <pivotField axis="axisRow" showAll="0">
      <items count="26">
        <item x="9"/>
        <item x="18"/>
        <item x="17"/>
        <item x="7"/>
        <item x="12"/>
        <item x="14"/>
        <item m="1" x="24"/>
        <item x="22"/>
        <item x="16"/>
        <item x="6"/>
        <item x="5"/>
        <item x="2"/>
        <item x="15"/>
        <item x="1"/>
        <item x="8"/>
        <item x="0"/>
        <item x="13"/>
        <item x="20"/>
        <item x="23"/>
        <item x="19"/>
        <item x="21"/>
        <item x="11"/>
        <item x="3"/>
        <item x="10"/>
        <item x="4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numFmtId="167" showAll="0"/>
    <pivotField dataField="1" numFmtId="44" showAll="0"/>
    <pivotField dataField="1" numFmtId="44" showAll="0"/>
    <pivotField dataField="1" numFmtId="9" showAll="0"/>
    <pivotField numFmtId="164" showAll="0"/>
    <pivotField numFmtId="164" showAll="0"/>
    <pivotField numFmtId="164" showAll="0"/>
    <pivotField numFmtId="9" showAll="0"/>
    <pivotField numFmtId="9" showAll="0"/>
    <pivotField showAll="0"/>
  </pivotFields>
  <rowFields count="1">
    <field x="0"/>
  </rowFields>
  <rowItems count="8">
    <i>
      <x v="1"/>
    </i>
    <i>
      <x v="2"/>
    </i>
    <i>
      <x v="7"/>
    </i>
    <i>
      <x v="17"/>
    </i>
    <i>
      <x v="18"/>
    </i>
    <i>
      <x v="19"/>
    </i>
    <i>
      <x v="20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0" hier="-1"/>
  </pageFields>
  <dataFields count="3">
    <dataField name="Soma de COTAÇÃO ATUAL" fld="5" baseField="0" baseItem="0"/>
    <dataField name="Soma de PREÇO MÉDIO" fld="6" baseField="0" baseItem="0"/>
    <dataField name="Soma de VARIAÇÃO PM" fld="7" baseField="0" baseItem="0" numFmtId="10"/>
  </dataFields>
  <formats count="1">
    <format dxfId="43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chartFormats count="3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1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A6111F-C1FD-4318-9AAF-D1B3E1807843}" name="Tabela dinâmica12" cacheId="50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5">
  <location ref="K3:L10" firstHeaderRow="1" firstDataRow="1" firstDataCol="1" rowPageCount="1" colPageCount="1"/>
  <pivotFields count="14">
    <pivotField showAll="0"/>
    <pivotField axis="axisPage" showAll="0">
      <items count="3">
        <item x="1"/>
        <item x="0"/>
        <item t="default"/>
      </items>
    </pivotField>
    <pivotField showAll="0"/>
    <pivotField axis="axisRow" showAll="0">
      <items count="13">
        <item x="7"/>
        <item x="6"/>
        <item x="1"/>
        <item x="2"/>
        <item x="4"/>
        <item m="1" x="9"/>
        <item x="8"/>
        <item m="1" x="10"/>
        <item m="1" x="11"/>
        <item x="0"/>
        <item x="3"/>
        <item x="5"/>
        <item t="default"/>
      </items>
    </pivotField>
    <pivotField numFmtId="167" showAll="0"/>
    <pivotField numFmtId="44" showAll="0"/>
    <pivotField numFmtId="44" showAll="0"/>
    <pivotField numFmtId="9" showAll="0"/>
    <pivotField numFmtId="164" showAll="0"/>
    <pivotField dataField="1" numFmtId="164" showAll="0"/>
    <pivotField numFmtId="164" showAll="0"/>
    <pivotField numFmtId="9" showAll="0"/>
    <pivotField numFmtId="9" showAll="0"/>
    <pivotField showAll="0"/>
  </pivotFields>
  <rowFields count="1">
    <field x="3"/>
  </rowFields>
  <rowItems count="7">
    <i>
      <x v="2"/>
    </i>
    <i>
      <x v="3"/>
    </i>
    <i>
      <x v="4"/>
    </i>
    <i>
      <x v="9"/>
    </i>
    <i>
      <x v="10"/>
    </i>
    <i>
      <x v="11"/>
    </i>
    <i t="grand">
      <x/>
    </i>
  </rowItems>
  <colItems count="1">
    <i/>
  </colItems>
  <pageFields count="1">
    <pageField fld="1" item="1" hier="-1"/>
  </pageFields>
  <dataFields count="1">
    <dataField name="Soma de PATRIMONIO ATUAL" fld="9" baseField="0" baseItem="0"/>
  </dataFields>
  <chartFormats count="7">
    <chartFormat chart="4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4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4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46F1773-B7EE-435E-BE71-B6F7CBCA70E1}" name="Tabela dinâmica13" cacheId="50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7">
  <location ref="N3:O7" firstHeaderRow="1" firstDataRow="1" firstDataCol="1" rowPageCount="1" colPageCount="1"/>
  <pivotFields count="14">
    <pivotField showAll="0"/>
    <pivotField axis="axisPage" showAll="0">
      <items count="3">
        <item x="1"/>
        <item x="0"/>
        <item t="default"/>
      </items>
    </pivotField>
    <pivotField showAll="0"/>
    <pivotField axis="axisRow" showAll="0">
      <items count="13">
        <item x="7"/>
        <item x="6"/>
        <item x="1"/>
        <item x="2"/>
        <item x="4"/>
        <item m="1" x="9"/>
        <item x="8"/>
        <item m="1" x="10"/>
        <item m="1" x="11"/>
        <item x="0"/>
        <item x="3"/>
        <item x="5"/>
        <item t="default"/>
      </items>
    </pivotField>
    <pivotField numFmtId="167" showAll="0"/>
    <pivotField numFmtId="44" showAll="0"/>
    <pivotField numFmtId="44" showAll="0"/>
    <pivotField numFmtId="9" showAll="0"/>
    <pivotField numFmtId="164" showAll="0"/>
    <pivotField dataField="1" numFmtId="164" showAll="0"/>
    <pivotField numFmtId="164" showAll="0"/>
    <pivotField numFmtId="9" showAll="0"/>
    <pivotField numFmtId="9" showAll="0"/>
    <pivotField showAll="0"/>
  </pivotFields>
  <rowFields count="1">
    <field x="3"/>
  </rowFields>
  <rowItems count="4">
    <i>
      <x/>
    </i>
    <i>
      <x v="1"/>
    </i>
    <i>
      <x v="6"/>
    </i>
    <i t="grand">
      <x/>
    </i>
  </rowItems>
  <colItems count="1">
    <i/>
  </colItems>
  <pageFields count="1">
    <pageField fld="1" item="0" hier="-1"/>
  </pageFields>
  <dataFields count="1">
    <dataField name="Soma de PATRIMONIO ATUAL" fld="9" baseField="0" baseItem="0"/>
  </dataFields>
  <chartFormats count="1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2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2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2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2" format="13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2" format="14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  <chartFormat chart="6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6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6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94E12D-92CB-42BD-97CC-88CD83F8E94B}" name="Tabela dinâmica16" cacheId="50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2">
  <location ref="Q3:T21" firstHeaderRow="0" firstDataRow="1" firstDataCol="1" rowPageCount="1" colPageCount="1"/>
  <pivotFields count="14">
    <pivotField axis="axisRow" showAll="0">
      <items count="26">
        <item x="9"/>
        <item x="18"/>
        <item x="17"/>
        <item x="7"/>
        <item x="12"/>
        <item x="14"/>
        <item m="1" x="24"/>
        <item x="22"/>
        <item x="16"/>
        <item x="6"/>
        <item x="5"/>
        <item x="2"/>
        <item x="15"/>
        <item x="1"/>
        <item x="8"/>
        <item x="0"/>
        <item x="13"/>
        <item x="20"/>
        <item x="23"/>
        <item x="19"/>
        <item x="21"/>
        <item x="11"/>
        <item x="3"/>
        <item x="10"/>
        <item x="4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numFmtId="167" showAll="0"/>
    <pivotField dataField="1" numFmtId="44" showAll="0"/>
    <pivotField dataField="1" numFmtId="44" showAll="0"/>
    <pivotField dataField="1" numFmtId="9" showAll="0"/>
    <pivotField numFmtId="164" showAll="0"/>
    <pivotField numFmtId="164" showAll="0"/>
    <pivotField numFmtId="164" showAll="0"/>
    <pivotField numFmtId="9" showAll="0"/>
    <pivotField numFmtId="9" showAll="0"/>
    <pivotField showAll="0"/>
  </pivotFields>
  <rowFields count="1">
    <field x="0"/>
  </rowFields>
  <rowItems count="18">
    <i>
      <x/>
    </i>
    <i>
      <x v="3"/>
    </i>
    <i>
      <x v="4"/>
    </i>
    <i>
      <x v="5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item="1" hier="-1"/>
  </pageFields>
  <dataFields count="3">
    <dataField name="Soma de COTAÇÃO ATUAL" fld="5" baseField="0" baseItem="0"/>
    <dataField name="Soma de PREÇO MÉDIO" fld="6" baseField="0" baseItem="0"/>
    <dataField name="Soma de VARIAÇÃO PM" fld="7" baseField="0" baseItem="0" numFmtId="10"/>
  </dataFields>
  <formats count="1">
    <format dxfId="4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EF035F4-6F47-489E-99F5-72713E0AA7DA}" name="Tabela dinâmica14" cacheId="50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9">
  <location ref="E25:E26" firstHeaderRow="1" firstDataRow="1" firstDataCol="0" rowPageCount="1" colPageCount="1"/>
  <pivotFields count="14">
    <pivotField dataField="1" showAll="0"/>
    <pivotField axis="axisPage" showAll="0">
      <items count="3">
        <item x="1"/>
        <item x="0"/>
        <item t="default"/>
      </items>
    </pivotField>
    <pivotField showAll="0"/>
    <pivotField showAll="0"/>
    <pivotField numFmtId="167" showAll="0"/>
    <pivotField numFmtId="44" showAll="0"/>
    <pivotField numFmtId="44" showAll="0"/>
    <pivotField numFmtId="9" showAll="0"/>
    <pivotField numFmtId="164" showAll="0"/>
    <pivotField numFmtId="164" showAll="0"/>
    <pivotField numFmtId="164" showAll="0"/>
    <pivotField numFmtId="9" showAll="0"/>
    <pivotField numFmtId="9" showAll="0"/>
    <pivotField showAll="0"/>
  </pivotFields>
  <rowItems count="1">
    <i/>
  </rowItems>
  <colItems count="1">
    <i/>
  </colItems>
  <pageFields count="1">
    <pageField fld="1" item="1" hier="-1"/>
  </pageFields>
  <dataFields count="1">
    <dataField name="Contagem de ATIVO" fld="0" subtotal="count" baseField="0" baseItem="0"/>
  </dataFields>
  <formats count="1">
    <format dxfId="45">
      <pivotArea grandRow="1"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467928-8F48-4988-8319-6E22B6E8E764}" name="Tabela dinâmica4" cacheId="50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3">
  <location ref="H3:I11" firstHeaderRow="1" firstDataRow="1" firstDataCol="1" rowPageCount="1" colPageCount="1"/>
  <pivotFields count="14">
    <pivotField axis="axisRow" showAll="0">
      <items count="26">
        <item x="9"/>
        <item x="18"/>
        <item x="17"/>
        <item x="7"/>
        <item x="12"/>
        <item x="14"/>
        <item m="1" x="24"/>
        <item x="22"/>
        <item x="16"/>
        <item x="6"/>
        <item x="5"/>
        <item x="2"/>
        <item x="15"/>
        <item x="1"/>
        <item x="8"/>
        <item x="0"/>
        <item x="13"/>
        <item x="20"/>
        <item x="23"/>
        <item x="19"/>
        <item x="21"/>
        <item x="11"/>
        <item x="3"/>
        <item x="10"/>
        <item x="4"/>
        <item t="default"/>
      </items>
    </pivotField>
    <pivotField axis="axisPage" showAll="0">
      <items count="3">
        <item x="1"/>
        <item x="0"/>
        <item t="default"/>
      </items>
    </pivotField>
    <pivotField showAll="0"/>
    <pivotField showAll="0"/>
    <pivotField numFmtId="167" showAll="0"/>
    <pivotField numFmtId="44" showAll="0"/>
    <pivotField numFmtId="44" showAll="0"/>
    <pivotField numFmtId="9" showAll="0"/>
    <pivotField numFmtId="164" showAll="0"/>
    <pivotField dataField="1" numFmtId="164" showAll="0"/>
    <pivotField numFmtId="164" showAll="0"/>
    <pivotField numFmtId="9" showAll="0"/>
    <pivotField numFmtId="9" showAll="0"/>
    <pivotField showAll="0"/>
  </pivotFields>
  <rowFields count="1">
    <field x="0"/>
  </rowFields>
  <rowItems count="8">
    <i>
      <x v="1"/>
    </i>
    <i>
      <x v="2"/>
    </i>
    <i>
      <x v="7"/>
    </i>
    <i>
      <x v="17"/>
    </i>
    <i>
      <x v="18"/>
    </i>
    <i>
      <x v="19"/>
    </i>
    <i>
      <x v="20"/>
    </i>
    <i t="grand">
      <x/>
    </i>
  </rowItems>
  <colItems count="1">
    <i/>
  </colItems>
  <pageFields count="1">
    <pageField fld="1" item="0" hier="-1"/>
  </pageFields>
  <dataFields count="1">
    <dataField name="Soma de PATRIMONIO ATUAL" fld="9" baseField="0" baseItem="0"/>
  </dataFields>
  <formats count="1">
    <format dxfId="46">
      <pivotArea grandRow="1" outline="0" collapsedLevelsAreSubtotals="1" fieldPosition="0"/>
    </format>
  </formats>
  <chartFormats count="28">
    <chartFormat chart="6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20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8" format="2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8" format="22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8" format="23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8" format="24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25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8" format="26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27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8" format="28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29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30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8" format="3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32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8" format="33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8" format="34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8" format="35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8" format="36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2" format="1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2" format="1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2" format="12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2" format="13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2" format="14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2" format="15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2" format="16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2" format="17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2" format="18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7C8198-0EA7-4E17-98F1-0D46E140891B}" name="Tabela dinâmica15" cacheId="50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13">
  <location ref="H15:H16" firstHeaderRow="1" firstDataRow="1" firstDataCol="0" rowPageCount="1" colPageCount="1"/>
  <pivotFields count="14">
    <pivotField dataField="1" showAll="0"/>
    <pivotField axis="axisPage" showAll="0">
      <items count="3">
        <item x="1"/>
        <item x="0"/>
        <item t="default"/>
      </items>
    </pivotField>
    <pivotField showAll="0"/>
    <pivotField showAll="0"/>
    <pivotField numFmtId="167" showAll="0"/>
    <pivotField numFmtId="44" showAll="0"/>
    <pivotField numFmtId="44" showAll="0"/>
    <pivotField numFmtId="9" showAll="0"/>
    <pivotField numFmtId="164" showAll="0"/>
    <pivotField numFmtId="164" showAll="0"/>
    <pivotField numFmtId="164" showAll="0"/>
    <pivotField numFmtId="9" showAll="0"/>
    <pivotField numFmtId="9" showAll="0"/>
    <pivotField showAll="0"/>
  </pivotFields>
  <rowItems count="1">
    <i/>
  </rowItems>
  <colItems count="1">
    <i/>
  </colItems>
  <pageFields count="1">
    <pageField fld="1" item="0" hier="-1"/>
  </pageFields>
  <dataFields count="1">
    <dataField name="Contagem de ATIVO" fld="0" subtotal="count" baseField="0" baseItem="0" numFmtId="167"/>
  </dataFields>
  <formats count="2">
    <format dxfId="48">
      <pivotArea grandRow="1" outline="0" collapsedLevelsAreSubtotals="1" fieldPosition="0"/>
    </format>
    <format dxfId="47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56A5EA-E6AA-436E-BE2C-7B07648747B1}" name="Tabela dinâmica1" cacheId="509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5">
  <location ref="A3:B6" firstHeaderRow="1" firstDataRow="1" firstDataCol="1"/>
  <pivotFields count="14">
    <pivotField showAll="0"/>
    <pivotField axis="axisRow" showAll="0">
      <items count="3">
        <item x="1"/>
        <item x="0"/>
        <item t="default"/>
      </items>
    </pivotField>
    <pivotField showAll="0"/>
    <pivotField showAll="0"/>
    <pivotField numFmtId="167" showAll="0"/>
    <pivotField numFmtId="44" showAll="0"/>
    <pivotField numFmtId="44" showAll="0"/>
    <pivotField numFmtId="9" showAll="0"/>
    <pivotField numFmtId="164" showAll="0"/>
    <pivotField dataField="1" numFmtId="164" showAll="0"/>
    <pivotField numFmtId="164" showAll="0"/>
    <pivotField numFmtId="9" showAll="0"/>
    <pivotField numFmtId="9" showAll="0"/>
    <pivotField showAll="0"/>
  </pivotFields>
  <rowFields count="1">
    <field x="1"/>
  </rowFields>
  <rowItems count="3">
    <i>
      <x/>
    </i>
    <i>
      <x v="1"/>
    </i>
    <i t="grand">
      <x/>
    </i>
  </rowItems>
  <colItems count="1">
    <i/>
  </colItems>
  <dataFields count="1">
    <dataField name="Soma de PATRIMONIO ATUAL" fld="9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6453161-8615-4BFB-AF9E-524D5E0E1BFF}" name="Tabela dinâmica9" cacheId="50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G5:G6" firstHeaderRow="1" firstDataRow="1" firstDataCol="0" rowPageCount="1" colPageCount="1"/>
  <pivotFields count="12">
    <pivotField showAll="0">
      <items count="49">
        <item x="19"/>
        <item m="1" x="42"/>
        <item x="18"/>
        <item m="1" x="44"/>
        <item x="16"/>
        <item m="1" x="36"/>
        <item x="5"/>
        <item m="1" x="30"/>
        <item x="6"/>
        <item m="1" x="39"/>
        <item x="20"/>
        <item m="1" x="28"/>
        <item x="0"/>
        <item m="1" x="26"/>
        <item x="22"/>
        <item m="1" x="24"/>
        <item x="7"/>
        <item m="1" x="46"/>
        <item x="8"/>
        <item m="1" x="32"/>
        <item x="9"/>
        <item m="1" x="38"/>
        <item x="21"/>
        <item m="1" x="31"/>
        <item x="10"/>
        <item m="1" x="40"/>
        <item x="15"/>
        <item m="1" x="47"/>
        <item x="11"/>
        <item m="1" x="29"/>
        <item x="4"/>
        <item m="1" x="35"/>
        <item x="2"/>
        <item m="1" x="25"/>
        <item x="23"/>
        <item m="1" x="37"/>
        <item x="1"/>
        <item m="1" x="41"/>
        <item x="17"/>
        <item m="1" x="33"/>
        <item x="12"/>
        <item m="1" x="43"/>
        <item x="13"/>
        <item m="1" x="27"/>
        <item x="14"/>
        <item m="1" x="34"/>
        <item x="3"/>
        <item m="1" x="45"/>
        <item t="default"/>
      </items>
    </pivotField>
    <pivotField showAll="0">
      <items count="3">
        <item x="0"/>
        <item x="1"/>
        <item t="default"/>
      </items>
    </pivotField>
    <pivotField showAll="0"/>
    <pivotField axis="axisPage" showAll="0">
      <items count="4">
        <item x="0"/>
        <item x="1"/>
        <item x="2"/>
        <item t="default"/>
      </items>
    </pivotField>
    <pivotField numFmtId="2" showAll="0"/>
    <pivotField showAll="0"/>
    <pivotField showAll="0"/>
    <pivotField showAll="0"/>
    <pivotField showAll="0"/>
    <pivotField showAll="0"/>
    <pivotField numFmtId="171" showAll="0"/>
    <pivotField dataField="1" numFmtId="171" showAll="0"/>
  </pivotFields>
  <rowItems count="1">
    <i/>
  </rowItems>
  <colItems count="1">
    <i/>
  </colItems>
  <pageFields count="1">
    <pageField fld="3" hier="-1"/>
  </pageFields>
  <dataFields count="1">
    <dataField name="Soma de Valor líquido" fld="11" baseField="0" baseItem="0" numFmtId="164"/>
  </dataFields>
  <formats count="3">
    <format dxfId="36">
      <pivotArea type="all" dataOnly="0" outline="0" fieldPosition="0"/>
    </format>
    <format dxfId="35">
      <pivotArea outline="0" collapsedLevelsAreSubtotals="1" fieldPosition="0"/>
    </format>
    <format dxfId="34">
      <pivotArea dataOnly="0" labelOnly="1" outline="0" axis="axisValues" fieldPosition="0"/>
    </format>
  </formats>
  <chartFormats count="2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B1BC16-CF0E-49BA-8AA8-A22914F562B3}" name="Tabela dinâmica8" cacheId="50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4">
  <location ref="D5:E40" firstHeaderRow="1" firstDataRow="1" firstDataCol="1" rowPageCount="2" colPageCount="1"/>
  <pivotFields count="12">
    <pivotField axis="axisPage" showAll="0">
      <items count="49">
        <item m="1" x="42"/>
        <item m="1" x="44"/>
        <item m="1" x="36"/>
        <item m="1" x="30"/>
        <item m="1" x="39"/>
        <item m="1" x="28"/>
        <item m="1" x="26"/>
        <item m="1" x="24"/>
        <item m="1" x="46"/>
        <item m="1" x="32"/>
        <item m="1" x="38"/>
        <item m="1" x="31"/>
        <item m="1" x="40"/>
        <item m="1" x="47"/>
        <item m="1" x="29"/>
        <item m="1" x="35"/>
        <item m="1" x="25"/>
        <item m="1" x="37"/>
        <item m="1" x="41"/>
        <item m="1" x="33"/>
        <item m="1" x="43"/>
        <item m="1" x="27"/>
        <item m="1" x="34"/>
        <item m="1" x="4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13">
        <item x="11"/>
        <item x="9"/>
        <item x="8"/>
        <item x="7"/>
        <item x="10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numFmtId="2" showAll="0"/>
    <pivotField showAll="0"/>
    <pivotField showAll="0"/>
    <pivotField showAll="0"/>
    <pivotField showAll="0"/>
    <pivotField showAll="0"/>
    <pivotField numFmtId="171" showAll="0"/>
    <pivotField dataField="1" numFmtId="171" showAll="0"/>
  </pivotFields>
  <rowFields count="2">
    <field x="3"/>
    <field x="2"/>
  </rowFields>
  <rowItems count="35">
    <i>
      <x/>
    </i>
    <i r="1">
      <x v="1"/>
    </i>
    <i r="1">
      <x v="2"/>
    </i>
    <i r="1">
      <x v="3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pageFields count="2">
    <pageField fld="1" hier="-1"/>
    <pageField fld="0" hier="-1"/>
  </pageFields>
  <dataFields count="1">
    <dataField name="Soma de Valor líquido" fld="11" baseField="0" baseItem="0" numFmtId="164"/>
  </dataFields>
  <formats count="3">
    <format dxfId="39">
      <pivotArea outline="0" collapsedLevelsAreSubtotals="1" fieldPosition="0"/>
    </format>
    <format dxfId="38">
      <pivotArea collapsedLevelsAreSubtotals="1" fieldPosition="0">
        <references count="1">
          <reference field="2" count="11">
            <x v="0"/>
            <x v="1"/>
            <x v="2"/>
            <x v="3"/>
            <x v="4"/>
            <x v="6"/>
            <x v="7"/>
            <x v="8"/>
            <x v="9"/>
            <x v="10"/>
            <x v="11"/>
          </reference>
        </references>
      </pivotArea>
    </format>
    <format dxfId="37">
      <pivotArea collapsedLevelsAreSubtotals="1" fieldPosition="0">
        <references count="1">
          <reference field="2" count="1">
            <x v="5"/>
          </reference>
        </references>
      </pivotArea>
    </format>
  </formats>
  <chartFormats count="1"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E9D69C8-90C4-47AB-B315-764FE054E8E5}" name="Tabela dinâmica2" cacheId="50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5">
  <location ref="A5:B23" firstHeaderRow="1" firstDataRow="1" firstDataCol="1" rowPageCount="3" colPageCount="1"/>
  <pivotFields count="12">
    <pivotField axis="axisRow" showAll="0">
      <items count="49">
        <item m="1" x="42"/>
        <item m="1" x="44"/>
        <item m="1" x="36"/>
        <item m="1" x="30"/>
        <item m="1" x="39"/>
        <item m="1" x="28"/>
        <item m="1" x="26"/>
        <item m="1" x="24"/>
        <item m="1" x="46"/>
        <item m="1" x="32"/>
        <item m="1" x="38"/>
        <item m="1" x="31"/>
        <item m="1" x="40"/>
        <item m="1" x="47"/>
        <item m="1" x="29"/>
        <item m="1" x="35"/>
        <item m="1" x="25"/>
        <item m="1" x="37"/>
        <item m="1" x="41"/>
        <item m="1" x="33"/>
        <item m="1" x="43"/>
        <item m="1" x="27"/>
        <item m="1" x="34"/>
        <item m="1" x="4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showAll="0">
      <items count="3">
        <item x="0"/>
        <item x="1"/>
        <item t="default"/>
      </items>
    </pivotField>
    <pivotField axis="axisPage" showAll="0">
      <items count="13">
        <item x="11"/>
        <item x="9"/>
        <item x="8"/>
        <item x="7"/>
        <item x="10"/>
        <item x="6"/>
        <item x="5"/>
        <item x="4"/>
        <item x="3"/>
        <item x="2"/>
        <item x="1"/>
        <item x="0"/>
        <item t="default"/>
      </items>
    </pivotField>
    <pivotField axis="axisPage" showAll="0">
      <items count="4">
        <item x="0"/>
        <item x="1"/>
        <item x="2"/>
        <item t="default"/>
      </items>
    </pivotField>
    <pivotField numFmtId="2" showAll="0"/>
    <pivotField showAll="0"/>
    <pivotField showAll="0"/>
    <pivotField showAll="0"/>
    <pivotField showAll="0"/>
    <pivotField showAll="0"/>
    <pivotField numFmtId="171" showAll="0"/>
    <pivotField dataField="1" numFmtId="171" showAll="0"/>
  </pivotFields>
  <rowFields count="1">
    <field x="0"/>
  </rowFields>
  <rowItems count="18"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3"/>
    </i>
    <i>
      <x v="44"/>
    </i>
    <i>
      <x v="45"/>
    </i>
    <i>
      <x v="46"/>
    </i>
    <i t="grand">
      <x/>
    </i>
  </rowItems>
  <colItems count="1">
    <i/>
  </colItems>
  <pageFields count="3">
    <pageField fld="1" item="1" hier="-1"/>
    <pageField fld="2" hier="-1"/>
    <pageField fld="3" item="2" hier="-1"/>
  </pageFields>
  <dataFields count="1">
    <dataField name="Soma de Valor líquido" fld="11" baseField="0" baseItem="0" numFmtId="164"/>
  </dataFields>
  <formats count="1">
    <format dxfId="40">
      <pivotArea outline="0" collapsedLevelsAreSubtotals="1" fieldPosition="0"/>
    </format>
  </format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BC6A99-A827-47F4-9C37-BA641EEF92FD}" name="Tabela dinâmica11" cacheId="504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 chartFormat="8">
  <location ref="K5:L25" firstHeaderRow="1" firstDataRow="1" firstDataCol="1" rowPageCount="2" colPageCount="1"/>
  <pivotFields count="12">
    <pivotField axis="axisPage" showAll="0">
      <items count="49">
        <item m="1" x="42"/>
        <item m="1" x="44"/>
        <item m="1" x="36"/>
        <item m="1" x="30"/>
        <item m="1" x="39"/>
        <item m="1" x="28"/>
        <item m="1" x="26"/>
        <item m="1" x="24"/>
        <item m="1" x="46"/>
        <item m="1" x="32"/>
        <item m="1" x="38"/>
        <item m="1" x="31"/>
        <item m="1" x="40"/>
        <item m="1" x="47"/>
        <item m="1" x="29"/>
        <item m="1" x="35"/>
        <item m="1" x="25"/>
        <item m="1" x="37"/>
        <item m="1" x="41"/>
        <item m="1" x="33"/>
        <item m="1" x="43"/>
        <item m="1" x="27"/>
        <item m="1" x="34"/>
        <item m="1" x="4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13">
        <item x="11"/>
        <item x="9"/>
        <item x="8"/>
        <item x="7"/>
        <item x="10"/>
        <item x="6"/>
        <item x="5"/>
        <item x="4"/>
        <item x="3"/>
        <item x="2"/>
        <item x="1"/>
        <item x="0"/>
        <item t="default"/>
      </items>
    </pivotField>
    <pivotField axis="axisRow" showAll="0">
      <items count="4">
        <item x="0"/>
        <item x="1"/>
        <item x="2"/>
        <item t="default"/>
      </items>
    </pivotField>
    <pivotField numFmtId="2" showAll="0"/>
    <pivotField showAll="0"/>
    <pivotField showAll="0"/>
    <pivotField showAll="0"/>
    <pivotField showAll="0"/>
    <pivotField showAll="0"/>
    <pivotField dataField="1" numFmtId="171" showAll="0"/>
    <pivotField numFmtId="171" showAll="0"/>
  </pivotFields>
  <rowFields count="2">
    <field x="3"/>
    <field x="2"/>
  </rowFields>
  <rowItems count="20">
    <i>
      <x v="1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2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t="grand">
      <x/>
    </i>
  </rowItems>
  <colItems count="1">
    <i/>
  </colItems>
  <pageFields count="2">
    <pageField fld="1" item="1" hier="-1"/>
    <pageField fld="0" item="45" hier="-1"/>
  </pageFields>
  <dataFields count="1">
    <dataField name="Soma de Preço unitário" fld="10" baseField="0" baseItem="0" numFmtId="43"/>
  </dataFields>
  <formats count="1">
    <format dxfId="41">
      <pivotArea outline="0" collapsedLevelsAreSubtotals="1" fieldPosition="0"/>
    </format>
  </format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A14A02B8-71E6-484C-A4C3-B968B568EDD1}" autoFormatId="16" applyNumberFormats="0" applyBorderFormats="0" applyFontFormats="0" applyPatternFormats="0" applyAlignmentFormats="0" applyWidthHeightFormats="0">
  <queryTableRefresh nextId="7">
    <queryTableFields count="6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" xr10:uid="{7F0EBBAD-4DF1-4B49-B6C1-5DACF1D4983B}" sourceName="TIPO">
  <pivotTables>
    <pivotTable tabId="47" name="Tabela dinâmica2"/>
  </pivotTables>
  <data>
    <tabular pivotCacheId="234876861">
      <items count="2">
        <i x="0"/>
        <i x="1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" xr10:uid="{FD6FB0A3-3A91-4860-9C04-96A3E29C9394}" sourceName="MÊS">
  <pivotTables>
    <pivotTable tabId="47" name="Tabela dinâmica2"/>
  </pivotTables>
  <data>
    <tabular pivotCacheId="234876861">
      <items count="12">
        <i x="11" s="1"/>
        <i x="9" s="1"/>
        <i x="8" s="1"/>
        <i x="7" s="1"/>
        <i x="10" s="1"/>
        <i x="6" s="1"/>
        <i x="5" s="1"/>
        <i x="4" s="1"/>
        <i x="3" s="1"/>
        <i x="2" s="1" nd="1"/>
        <i x="1" s="1" nd="1"/>
        <i x="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178BCF78-BB12-4751-BFB9-C7EB1D4EA304}" sourceName="ANO">
  <pivotTables>
    <pivotTable tabId="47" name="Tabela dinâmica2"/>
  </pivotTables>
  <data>
    <tabular pivotCacheId="234876861">
      <items count="3">
        <i x="0"/>
        <i x="1"/>
        <i x="2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TIVO1" xr10:uid="{56779454-17E7-4505-A37F-64068438EED4}" sourceName="ATIVO">
  <pivotTables>
    <pivotTable tabId="47" name="Tabela dinâmica8"/>
    <pivotTable tabId="47" name="Tabela dinâmica9"/>
  </pivotTables>
  <data>
    <tabular pivotCacheId="234876861">
      <items count="48">
        <i x="19" s="1"/>
        <i x="18" s="1"/>
        <i x="16" s="1"/>
        <i x="5" s="1"/>
        <i x="6" s="1"/>
        <i x="20" s="1"/>
        <i x="0" s="1"/>
        <i x="22" s="1"/>
        <i x="7" s="1"/>
        <i x="8" s="1"/>
        <i x="9" s="1"/>
        <i x="21" s="1"/>
        <i x="10" s="1"/>
        <i x="15" s="1"/>
        <i x="11" s="1"/>
        <i x="4" s="1"/>
        <i x="2" s="1"/>
        <i x="23" s="1"/>
        <i x="1" s="1"/>
        <i x="17" s="1"/>
        <i x="12" s="1"/>
        <i x="13" s="1"/>
        <i x="14" s="1"/>
        <i x="3" s="1"/>
        <i x="42" s="1" nd="1"/>
        <i x="44" s="1" nd="1"/>
        <i x="36" s="1" nd="1"/>
        <i x="30" s="1" nd="1"/>
        <i x="39" s="1" nd="1"/>
        <i x="28" s="1" nd="1"/>
        <i x="26" s="1" nd="1"/>
        <i x="24" s="1" nd="1"/>
        <i x="46" s="1" nd="1"/>
        <i x="32" s="1" nd="1"/>
        <i x="38" s="1" nd="1"/>
        <i x="31" s="1" nd="1"/>
        <i x="40" s="1" nd="1"/>
        <i x="47" s="1" nd="1"/>
        <i x="29" s="1" nd="1"/>
        <i x="35" s="1" nd="1"/>
        <i x="25" s="1" nd="1"/>
        <i x="37" s="1" nd="1"/>
        <i x="41" s="1" nd="1"/>
        <i x="33" s="1" nd="1"/>
        <i x="43" s="1" nd="1"/>
        <i x="27" s="1" nd="1"/>
        <i x="34" s="1" nd="1"/>
        <i x="45" s="1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2" xr10:uid="{877C50AA-2B3C-4050-BD9F-09C0628D75EB}" sourceName="TIPO">
  <pivotTables>
    <pivotTable tabId="47" name="Tabela dinâmica8"/>
    <pivotTable tabId="47" name="Tabela dinâmica9"/>
  </pivotTables>
  <data>
    <tabular pivotCacheId="234876861">
      <items count="2">
        <i x="0" s="1"/>
        <i x="1" s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2" xr10:uid="{D02D6A7B-E04E-4C99-A17D-143A2AA152AE}" sourceName="ANO">
  <pivotTables>
    <pivotTable tabId="47" name="Tabela dinâmica8"/>
    <pivotTable tabId="47" name="Tabela dinâmica9"/>
  </pivotTables>
  <data>
    <tabular pivotCacheId="234876861">
      <items count="3">
        <i x="0" s="1"/>
        <i x="1" s="1"/>
        <i x="2" s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TIVO" xr10:uid="{B52C03F7-4E2D-49DF-B13A-B18E3CE3D79D}" sourceName="ATIVO">
  <pivotTables>
    <pivotTable tabId="47" name="Tabela dinâmica11"/>
  </pivotTables>
  <data>
    <tabular pivotCacheId="234876861">
      <items count="48">
        <i x="19"/>
        <i x="5"/>
        <i x="6"/>
        <i x="20"/>
        <i x="22"/>
        <i x="7"/>
        <i x="8"/>
        <i x="9"/>
        <i x="21" s="1"/>
        <i x="10"/>
        <i x="15"/>
        <i x="11"/>
        <i x="4"/>
        <i x="12"/>
        <i x="13"/>
        <i x="14"/>
        <i x="3"/>
        <i x="42" nd="1"/>
        <i x="18" nd="1"/>
        <i x="44" nd="1"/>
        <i x="16" nd="1"/>
        <i x="36" nd="1"/>
        <i x="30" nd="1"/>
        <i x="39" nd="1"/>
        <i x="28" nd="1"/>
        <i x="0" nd="1"/>
        <i x="26" nd="1"/>
        <i x="24" nd="1"/>
        <i x="46" nd="1"/>
        <i x="32" nd="1"/>
        <i x="38" nd="1"/>
        <i x="31" nd="1"/>
        <i x="40" nd="1"/>
        <i x="47" nd="1"/>
        <i x="29" nd="1"/>
        <i x="35" nd="1"/>
        <i x="2" nd="1"/>
        <i x="25" nd="1"/>
        <i x="23" nd="1"/>
        <i x="37" nd="1"/>
        <i x="1" nd="1"/>
        <i x="41" nd="1"/>
        <i x="17" nd="1"/>
        <i x="33" nd="1"/>
        <i x="43" nd="1"/>
        <i x="27" nd="1"/>
        <i x="34" nd="1"/>
        <i x="45" nd="1"/>
      </items>
    </tabular>
  </data>
  <extLst>
    <x:ext xmlns:x15="http://schemas.microsoft.com/office/spreadsheetml/2010/11/main" uri="{470722E0-AACD-4C17-9CDC-17EF765DBC7E}">
      <x15:slicerCacheHideItemsWithNoData/>
    </x:ext>
  </extLst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PO1" xr10:uid="{1EA12CCE-25D7-46C6-98E9-41CDEDDC191D}" sourceName="TIPO">
  <pivotTables>
    <pivotTable tabId="47" name="Tabela dinâmica11"/>
  </pivotTables>
  <data>
    <tabular pivotCacheId="234876861">
      <items count="2">
        <i x="1" s="1"/>
        <i x="0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PO" xr10:uid="{18A140C5-9CE3-4872-9515-FCD702AEA93A}" cache="SegmentaçãodeDados_TIPO" caption="TIPO" style="Estilo de Segmentação de Dados 2 2" rowHeight="241300"/>
  <slicer name="MÊS" xr10:uid="{05DA2074-1648-4997-ADB4-8A97CFEA076F}" cache="SegmentaçãodeDados_MÊS" caption="MÊS" columnCount="2" style="Estilo de Segmentação de Dados 2 2" rowHeight="241300"/>
  <slicer name="ANO" xr10:uid="{BB1E186D-0233-4697-B079-73E89CDC2100}" cache="SegmentaçãodeDados_ANO" caption="ANO" style="Estilo de Segmentação de Dados 2 2" rowHeight="241300"/>
  <slicer name="ATIVO 1" xr10:uid="{C3CAC15A-ACC4-40B6-BC3C-362989A9F160}" cache="SegmentaçãodeDados_ATIVO1" caption="ATIVO" columnCount="3" style="Estilo de Segmentação de Dados 2 2" rowHeight="241300"/>
  <slicer name="TIPO 2" xr10:uid="{54590B59-0245-4C6F-BBA1-A4C6913B3B45}" cache="SegmentaçãodeDados_TIPO2" caption="TIPO" style="Estilo de Segmentação de Dados 2 2" rowHeight="241300"/>
  <slicer name="ANO 2" xr10:uid="{81B3832F-82BF-466F-91E0-8AD35B17D3C5}" cache="SegmentaçãodeDados_ANO2" caption="ANO" style="Estilo de Segmentação de Dados 2 2" rowHeight="241300"/>
  <slicer name="ATIVO" xr10:uid="{F023DCBE-CC58-489D-9BF9-C6619043DDC4}" cache="SegmentaçãodeDados_ATIVO" caption="ATIVO" columnCount="2" style="Estilo de Segmentação de Dados 2 2" rowHeight="241300"/>
  <slicer name="TIPO 1" xr10:uid="{2FE74AEA-243E-43D1-B1E5-A15F7E208881}" cache="SegmentaçãodeDados_TIPO1" caption="TIPO" columnCount="2" style="Estilo de Segmentação de Dados 2 2" rowHeight="24130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CF61642-C66A-4F22-BAB7-83170CC2CF8B}" name="Table_0__2" displayName="Table_0__2" ref="A1:F1163" tableType="queryTable" totalsRowShown="0">
  <autoFilter ref="A1:F1163" xr:uid="{ECF61642-C66A-4F22-BAB7-83170CC2CF8B}"/>
  <tableColumns count="6">
    <tableColumn id="1" xr3:uid="{774583FF-ECB1-4367-AF55-51C6A7BA8098}" uniqueName="1" name="Column1" queryTableFieldId="1" dataDxfId="4"/>
    <tableColumn id="2" xr3:uid="{82686196-1D6F-4782-AFC7-14C64909F17E}" uniqueName="2" name="Column2" queryTableFieldId="2"/>
    <tableColumn id="3" xr3:uid="{C81D87CA-D7AF-4AF0-AC1E-5A1487F1D0B0}" uniqueName="3" name="Column3" queryTableFieldId="3" dataDxfId="3"/>
    <tableColumn id="4" xr3:uid="{B7596BEB-6B4B-4CF1-9E19-0EA2B7151BA4}" uniqueName="4" name="Column4" queryTableFieldId="4" dataDxfId="2"/>
    <tableColumn id="5" xr3:uid="{1658EB70-8C5D-4F48-97BF-27FD19D26549}" uniqueName="5" name="Column5" queryTableFieldId="5" dataDxfId="1"/>
    <tableColumn id="6" xr3:uid="{ADDEF8E2-B673-4BCD-88C7-F41007B960FF}" uniqueName="6" name="Column6" queryTableFieldId="6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6AE79EB-E9B5-4191-B51E-7B5B18E8D032}" name="Tabela13" displayName="Tabela13" ref="B2:M215" totalsRowShown="0" headerRowDxfId="60" dataDxfId="59" dataCellStyle="Moeda">
  <autoFilter ref="B2:M215" xr:uid="{C6AE79EB-E9B5-4191-B51E-7B5B18E8D032}"/>
  <tableColumns count="12">
    <tableColumn id="1" xr3:uid="{3998B0CF-F119-4231-A460-9D614E658A1D}" name="Operação" dataDxfId="58"/>
    <tableColumn id="2" xr3:uid="{3D02574E-089F-4B68-833D-4D0EDCB8BC75}" name="Data" dataDxfId="27"/>
    <tableColumn id="3" xr3:uid="{84851854-003E-4B6D-8B36-1D13032CD8C3}" name="Código" dataDxfId="57"/>
    <tableColumn id="4" xr3:uid="{1E31B6B5-810F-4E6D-83B7-A70D1E0F31B5}" name="Nome Empresa" dataDxfId="56">
      <calculatedColumnFormula>VLOOKUP(Tabela13[[#This Row],[Código]],'COTAÇÃO ATUAL'!C:F,4,0)</calculatedColumnFormula>
    </tableColumn>
    <tableColumn id="23" xr3:uid="{FC5E9018-3B2B-4519-9417-C7F235AD5638}" name="Tipo" dataDxfId="55"/>
    <tableColumn id="5" xr3:uid="{2844F643-5224-4555-8836-79D67C577288}" name="Quantidade" dataDxfId="54"/>
    <tableColumn id="6" xr3:uid="{B9E15C61-AC11-453B-B56B-599181A6E921}" name="Cotação na Compra ou Venda" dataDxfId="33" dataCellStyle="Moeda"/>
    <tableColumn id="19" xr3:uid="{9C7CCAC1-B5E0-4576-AD86-7733AC2D4801}" name="Total Investido" dataDxfId="32" dataCellStyle="Moeda">
      <calculatedColumnFormula>Tabela13[[#This Row],[Quantidade]]*Tabela13[[#This Row],[Cotação na Compra ou Venda]]</calculatedColumnFormula>
    </tableColumn>
    <tableColumn id="21" xr3:uid="{2034B994-54A4-4467-B6CE-7FA7B75EBD93}" name="Total ações/cotas" dataDxfId="31" dataCellStyle="Vírgula">
      <calculatedColumnFormula>SUMIFS(G:G,D:D,D3,B:B,"Compra")-(SUMIFS(G:G,D:D,D3,B:B,"Venda"))</calculatedColumnFormula>
    </tableColumn>
    <tableColumn id="11" xr3:uid="{19CEB4BE-A84C-49F6-85DC-3F85792C727F}" name="Quantidade Atual" dataDxfId="30" dataCellStyle="Moeda">
      <calculatedColumnFormula>SUMIFS(G:G,D:D,D3,B:B,"Compra")-(SUMIFS(G:G,D:D,D3,B:B,"Venda"))</calculatedColumnFormula>
    </tableColumn>
    <tableColumn id="12" xr3:uid="{68DC30DC-E065-46D0-9C83-A21E16677B43}" name="Preço Total" dataDxfId="29" dataCellStyle="Moeda">
      <calculatedColumnFormula>IF(K3&lt;=0,0,ROUND(M3*K3,2))</calculatedColumnFormula>
    </tableColumn>
    <tableColumn id="13" xr3:uid="{DCAAFCAA-1C68-4BDC-A800-265D096F053E}" name="Preço Médio Atual" dataDxfId="28" dataCellStyle="Moeda">
      <calculatedColumnFormula>IF(K3&lt;=0,0,IFERROR(ROUND(SUMIFS(I:I,D:D,D3,B:B,"Compra")/SUMIFS(G:G,D:D,D3,B:B,"Compra"),2),""))</calculatedColumnFormula>
    </tableColumn>
  </tableColumns>
  <tableStyleInfo name="TableStyleLight1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C5E2007-FD26-4E3B-9866-CCAA7C350D78}" name="Tabela4" displayName="Tabela4" ref="A6:N30" totalsRowShown="0" headerRowDxfId="53" dataDxfId="52" tableBorderDxfId="51" dataCellStyle="Porcentagem">
  <autoFilter ref="A6:N30" xr:uid="{EC5E2007-FD26-4E3B-9866-CCAA7C350D78}"/>
  <tableColumns count="14">
    <tableColumn id="1" xr3:uid="{2230510A-88AC-4DF0-920D-E068C7AC234B}" name="ATIVO" dataDxfId="50"/>
    <tableColumn id="2" xr3:uid="{14FD2029-F950-4EE6-BB0E-3356AA8BE9B3}" name="TIPO" dataDxfId="49"/>
    <tableColumn id="3" xr3:uid="{B5A31E23-1264-4166-B8F8-4B585F848810}" name="NOME" dataDxfId="17">
      <calculatedColumnFormula>VLOOKUP(CONSOLIDADO!$A7,COMPRAS!D:E,2,0)</calculatedColumnFormula>
    </tableColumn>
    <tableColumn id="4" xr3:uid="{547F009D-FF93-4D72-AC1F-EE625F01AAEC}" name="SUBSETOR" dataDxfId="15"/>
    <tableColumn id="13" xr3:uid="{356E6D8A-01E6-48F6-815D-26B82E94C051}" name="COTAS ADQUIRIDAS" dataDxfId="16">
      <calculatedColumnFormula>VLOOKUP(CONSOLIDADO!$A7,COMPRAS!D:M,8,0)</calculatedColumnFormula>
    </tableColumn>
    <tableColumn id="5" xr3:uid="{F41451F3-5F96-4476-8564-3E7FE8F6377B}" name="COTAÇÃO ATUAL" dataDxfId="26" dataCellStyle="Moeda">
      <calculatedColumnFormula>VALUE(VLOOKUP(CONSOLIDADO!$A7,'COTAÇÃO ATUAL'!C:D,2,0))</calculatedColumnFormula>
    </tableColumn>
    <tableColumn id="7" xr3:uid="{BAA7B816-A7F2-423E-9CEE-49E601AC6B20}" name="PREÇO MÉDIO" dataDxfId="25" dataCellStyle="Vírgula">
      <calculatedColumnFormula>VLOOKUP(CONSOLIDADO!$A7,COMPRAS!D:M,10,0)</calculatedColumnFormula>
    </tableColumn>
    <tableColumn id="14" xr3:uid="{0A141ED3-B9B2-49FF-99BC-2AB551EC22A8}" name="VARIAÇÃO PM" dataDxfId="24" dataCellStyle="Porcentagem">
      <calculatedColumnFormula>Tabela4[[#This Row],[COTAÇÃO ATUAL]]/Tabela4[[#This Row],[PREÇO MÉDIO]]-1</calculatedColumnFormula>
    </tableColumn>
    <tableColumn id="8" xr3:uid="{B6BA48C3-1C60-4047-A100-BFBD94495914}" name="TOTAL AQUISIÇÃO" dataDxfId="23" dataCellStyle="Vírgula">
      <calculatedColumnFormula>CONSOLIDADO!$E7*CONSOLIDADO!$G7</calculatedColumnFormula>
    </tableColumn>
    <tableColumn id="9" xr3:uid="{022259CB-A744-4B76-B890-994308002562}" name="PATRIMONIO ATUAL" dataDxfId="22" dataCellStyle="Vírgula">
      <calculatedColumnFormula>CONSOLIDADO!$E7*CONSOLIDADO!$F7</calculatedColumnFormula>
    </tableColumn>
    <tableColumn id="10" xr3:uid="{BE5A1D93-41B0-4377-B8BA-B875A7654AC5}" name="LUCRO PREJUIZO" dataDxfId="21" dataCellStyle="Moeda">
      <calculatedColumnFormula>CONSOLIDADO!$J7-CONSOLIDADO!$I7</calculatedColumnFormula>
    </tableColumn>
    <tableColumn id="11" xr3:uid="{26417C39-749F-4DF1-9071-FE4C50D71886}" name="VARIAÇÃO %" dataDxfId="20" dataCellStyle="Moeda">
      <calculatedColumnFormula>CONSOLIDADO!$J7/CONSOLIDADO!$I7-1</calculatedColumnFormula>
    </tableColumn>
    <tableColumn id="12" xr3:uid="{A9073A77-E18B-4190-8A6D-FA94DB399047}" name="% CARTEIRA" dataDxfId="19" dataCellStyle="Porcentagem">
      <calculatedColumnFormula>CONSOLIDADO!$J7/$J$4</calculatedColumnFormula>
    </tableColumn>
    <tableColumn id="27" xr3:uid="{8D79C325-0576-4B71-88DE-A34761462841}" name="RESUMO IR - BENS E DIREITOS" dataDxfId="18" dataCellStyle="Porcentagem">
      <calculatedColumnFormula>IF(A7&lt;=0,"",E7&amp;" COTAS DE "&amp;C7&amp;" ,CÓDIGO DE NEGOCIAÇÃO: "&amp;A7&amp;". PREÇO MÉDIO DE R$ "&amp;G7&amp;" E CUSTO TOTAL DE AQUISIÇÃO DE R$ "&amp;I7)</calculatedColumnFormula>
    </tableColumn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DC059B3-D2CE-45DB-88EE-757EEC0E2163}" name="Tabela2" displayName="Tabela2" ref="A1:L294" totalsRowShown="0" headerRowDxfId="14">
  <autoFilter ref="A1:L294" xr:uid="{FDC059B3-D2CE-45DB-88EE-757EEC0E2163}"/>
  <tableColumns count="12">
    <tableColumn id="1" xr3:uid="{0450A71C-49D2-4B10-9E6D-C4D48069F8C4}" name="ATIVO" dataDxfId="13">
      <calculatedColumnFormula>MID(F2,1,SEARCH(" ",F2)-1)</calculatedColumnFormula>
    </tableColumn>
    <tableColumn id="2" xr3:uid="{7BD8D04E-31D7-4761-ACBD-41CD50867FDE}" name="TIPO" dataDxfId="12"/>
    <tableColumn id="3" xr3:uid="{332F6490-58B9-4422-B44B-0BCDA55ACD1F}" name="MÊS" dataDxfId="11">
      <calculatedColumnFormula>UPPER(TEXT(G2,"MMMM"))</calculatedColumnFormula>
    </tableColumn>
    <tableColumn id="4" xr3:uid="{0BC89AC4-6A81-499E-9D78-E41B75B9AB49}" name="ANO" dataDxfId="10">
      <calculatedColumnFormula>YEAR(G2)</calculatedColumnFormula>
    </tableColumn>
    <tableColumn id="12" xr3:uid="{4737B4B3-6F29-4C5F-8A6F-10A6211E4C19}" name="MÉDIA DIVIDENDO" dataDxfId="9">
      <calculatedColumnFormula>IFERROR(AVERAGEIFS(K:K,A:A,'TAB DIN PROVENTOS B3'!$L$3),"")</calculatedColumnFormula>
    </tableColumn>
    <tableColumn id="5" xr3:uid="{502CB4BC-401D-49C0-945F-3DD39FAB7EDE}" name="Produto" dataCellStyle="Normal 2"/>
    <tableColumn id="6" xr3:uid="{EC94B926-F1F5-4719-A952-59F7B130A418}" name="DATA PGT" dataDxfId="8" dataCellStyle="Normal 2"/>
    <tableColumn id="7" xr3:uid="{B5051755-63C1-4149-9DF2-59648EDBA90C}" name="Tipo de Evento" dataCellStyle="Normal 2"/>
    <tableColumn id="8" xr3:uid="{2CE32647-58BE-4626-AAB3-9EF878DCA982}" name="Instituição" dataCellStyle="Normal 2"/>
    <tableColumn id="9" xr3:uid="{0CCD0662-29F3-467C-A89A-B7E61B6F8795}" name="Quantidade" dataDxfId="7" dataCellStyle="Normal 2"/>
    <tableColumn id="10" xr3:uid="{E967063B-7677-49C7-BE3D-C9511CE318AB}" name="Preço unitário" dataDxfId="6" dataCellStyle="Normal 2"/>
    <tableColumn id="11" xr3:uid="{C03A2585-284C-46FF-892F-045297CD40BD}" name="Valor líquido" dataDxfId="5" dataCellStyle="Normal 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69" dT="2022-10-02T02:41:23.59" personId="{8AB8905D-2822-4D55-8E51-BE0CF4CFA8EB}" id="{24968DD5-C429-4C2A-987A-DF834BD8014B}">
    <text>CAMPOS DE IMPOSTO DE RENDA AINDA EM CONSTRUÇÃO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12.xml"/><Relationship Id="rId2" Type="http://schemas.openxmlformats.org/officeDocument/2006/relationships/pivotTable" Target="../pivotTables/pivotTable11.xml"/><Relationship Id="rId1" Type="http://schemas.openxmlformats.org/officeDocument/2006/relationships/pivotTable" Target="../pivotTables/pivotTable10.xml"/><Relationship Id="rId4" Type="http://schemas.openxmlformats.org/officeDocument/2006/relationships/pivotTable" Target="../pivotTables/pivotTable1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microsoft.com/office/2007/relationships/slicer" Target="../slicers/slicer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124D75-DC74-4102-9298-3EF1D3DAA6B4}">
  <sheetPr codeName="Planilha7"/>
  <dimension ref="A1:H1163"/>
  <sheetViews>
    <sheetView workbookViewId="0">
      <selection activeCell="C4" sqref="C4"/>
    </sheetView>
  </sheetViews>
  <sheetFormatPr defaultRowHeight="15" x14ac:dyDescent="0.25"/>
  <cols>
    <col min="1" max="3" width="11.140625" bestFit="1" customWidth="1"/>
    <col min="4" max="4" width="11.7109375" bestFit="1" customWidth="1"/>
    <col min="5" max="5" width="72.85546875" bestFit="1" customWidth="1"/>
    <col min="6" max="6" width="81.140625" bestFit="1" customWidth="1"/>
  </cols>
  <sheetData>
    <row r="1" spans="1:8" x14ac:dyDescent="0.25">
      <c r="A1" t="s">
        <v>251</v>
      </c>
      <c r="B1" t="s">
        <v>252</v>
      </c>
      <c r="C1" t="s">
        <v>253</v>
      </c>
      <c r="D1" t="s">
        <v>254</v>
      </c>
      <c r="E1" t="s">
        <v>255</v>
      </c>
      <c r="F1" t="s">
        <v>1674</v>
      </c>
    </row>
    <row r="2" spans="1:8" x14ac:dyDescent="0.25">
      <c r="A2" s="4" t="s">
        <v>256</v>
      </c>
      <c r="B2">
        <v>1</v>
      </c>
      <c r="C2" s="4" t="s">
        <v>257</v>
      </c>
      <c r="D2" s="5" t="s">
        <v>258</v>
      </c>
      <c r="E2" s="4" t="s">
        <v>259</v>
      </c>
      <c r="F2" s="4"/>
    </row>
    <row r="3" spans="1:8" x14ac:dyDescent="0.25">
      <c r="A3" s="4" t="s">
        <v>256</v>
      </c>
      <c r="B3">
        <v>2</v>
      </c>
      <c r="C3" s="4" t="s">
        <v>866</v>
      </c>
      <c r="D3" s="5" t="s">
        <v>2640</v>
      </c>
      <c r="E3" s="4" t="s">
        <v>867</v>
      </c>
      <c r="F3" s="4" t="s">
        <v>1675</v>
      </c>
      <c r="H3" s="6"/>
    </row>
    <row r="4" spans="1:8" x14ac:dyDescent="0.25">
      <c r="A4" s="4" t="s">
        <v>256</v>
      </c>
      <c r="B4">
        <v>3</v>
      </c>
      <c r="C4" s="4" t="s">
        <v>262</v>
      </c>
      <c r="D4" s="5" t="s">
        <v>2641</v>
      </c>
      <c r="E4" s="4" t="s">
        <v>263</v>
      </c>
      <c r="F4" s="4" t="s">
        <v>1676</v>
      </c>
      <c r="H4" s="6"/>
    </row>
    <row r="5" spans="1:8" x14ac:dyDescent="0.25">
      <c r="A5" s="4" t="s">
        <v>256</v>
      </c>
      <c r="B5">
        <v>4</v>
      </c>
      <c r="C5" s="4" t="s">
        <v>264</v>
      </c>
      <c r="D5" s="5" t="s">
        <v>2642</v>
      </c>
      <c r="E5" s="4" t="s">
        <v>265</v>
      </c>
      <c r="F5" s="4" t="s">
        <v>1677</v>
      </c>
      <c r="H5" s="6"/>
    </row>
    <row r="6" spans="1:8" x14ac:dyDescent="0.25">
      <c r="A6" s="4" t="s">
        <v>256</v>
      </c>
      <c r="B6">
        <v>5</v>
      </c>
      <c r="C6" s="4" t="s">
        <v>266</v>
      </c>
      <c r="D6" s="5" t="s">
        <v>2643</v>
      </c>
      <c r="E6" s="4" t="s">
        <v>2275</v>
      </c>
      <c r="F6" s="4" t="s">
        <v>2276</v>
      </c>
      <c r="H6" s="6"/>
    </row>
    <row r="7" spans="1:8" x14ac:dyDescent="0.25">
      <c r="A7" s="4" t="s">
        <v>256</v>
      </c>
      <c r="B7">
        <v>6</v>
      </c>
      <c r="C7" s="4" t="s">
        <v>267</v>
      </c>
      <c r="D7" s="5" t="s">
        <v>2644</v>
      </c>
      <c r="E7" s="4" t="s">
        <v>268</v>
      </c>
      <c r="F7" s="4" t="s">
        <v>1678</v>
      </c>
    </row>
    <row r="8" spans="1:8" x14ac:dyDescent="0.25">
      <c r="A8" s="4" t="s">
        <v>256</v>
      </c>
      <c r="B8">
        <v>7</v>
      </c>
      <c r="C8" s="4" t="s">
        <v>269</v>
      </c>
      <c r="D8" s="5" t="s">
        <v>2645</v>
      </c>
      <c r="E8" s="4" t="s">
        <v>270</v>
      </c>
      <c r="F8" s="4" t="s">
        <v>1679</v>
      </c>
    </row>
    <row r="9" spans="1:8" x14ac:dyDescent="0.25">
      <c r="A9" s="4" t="s">
        <v>256</v>
      </c>
      <c r="B9">
        <v>8</v>
      </c>
      <c r="C9" s="4" t="s">
        <v>271</v>
      </c>
      <c r="D9" s="5" t="s">
        <v>2646</v>
      </c>
      <c r="E9" s="4" t="s">
        <v>272</v>
      </c>
      <c r="F9" s="4" t="s">
        <v>1680</v>
      </c>
    </row>
    <row r="10" spans="1:8" x14ac:dyDescent="0.25">
      <c r="A10" s="4" t="s">
        <v>256</v>
      </c>
      <c r="B10">
        <v>9</v>
      </c>
      <c r="C10" s="4" t="s">
        <v>273</v>
      </c>
      <c r="D10" s="5" t="s">
        <v>2647</v>
      </c>
      <c r="E10" s="4" t="s">
        <v>274</v>
      </c>
      <c r="F10" s="4" t="s">
        <v>1681</v>
      </c>
    </row>
    <row r="11" spans="1:8" x14ac:dyDescent="0.25">
      <c r="A11" s="4" t="s">
        <v>256</v>
      </c>
      <c r="B11">
        <v>10</v>
      </c>
      <c r="C11" s="4" t="s">
        <v>275</v>
      </c>
      <c r="D11" s="5" t="s">
        <v>2605</v>
      </c>
      <c r="E11" s="4" t="s">
        <v>276</v>
      </c>
      <c r="F11" s="4" t="s">
        <v>1682</v>
      </c>
    </row>
    <row r="12" spans="1:8" x14ac:dyDescent="0.25">
      <c r="A12" s="4" t="s">
        <v>256</v>
      </c>
      <c r="B12">
        <v>11</v>
      </c>
      <c r="C12" s="4" t="s">
        <v>277</v>
      </c>
      <c r="D12" s="5" t="s">
        <v>2648</v>
      </c>
      <c r="E12" s="4" t="s">
        <v>278</v>
      </c>
      <c r="F12" s="4" t="s">
        <v>1683</v>
      </c>
    </row>
    <row r="13" spans="1:8" x14ac:dyDescent="0.25">
      <c r="A13" s="4" t="s">
        <v>256</v>
      </c>
      <c r="B13">
        <v>12</v>
      </c>
      <c r="C13" s="4" t="s">
        <v>279</v>
      </c>
      <c r="D13" s="5" t="s">
        <v>2649</v>
      </c>
      <c r="E13" s="4" t="s">
        <v>280</v>
      </c>
      <c r="F13" s="4" t="s">
        <v>1684</v>
      </c>
    </row>
    <row r="14" spans="1:8" x14ac:dyDescent="0.25">
      <c r="A14" s="4" t="s">
        <v>256</v>
      </c>
      <c r="B14">
        <v>13</v>
      </c>
      <c r="C14" s="4" t="s">
        <v>281</v>
      </c>
      <c r="D14" s="5" t="s">
        <v>2650</v>
      </c>
      <c r="E14" s="4" t="s">
        <v>282</v>
      </c>
      <c r="F14" s="4" t="s">
        <v>1685</v>
      </c>
    </row>
    <row r="15" spans="1:8" x14ac:dyDescent="0.25">
      <c r="A15" s="4" t="s">
        <v>256</v>
      </c>
      <c r="B15">
        <v>14</v>
      </c>
      <c r="C15" s="4" t="s">
        <v>283</v>
      </c>
      <c r="D15" s="5" t="s">
        <v>2651</v>
      </c>
      <c r="E15" s="4" t="s">
        <v>284</v>
      </c>
      <c r="F15" s="4" t="s">
        <v>1686</v>
      </c>
    </row>
    <row r="16" spans="1:8" x14ac:dyDescent="0.25">
      <c r="A16" s="4" t="s">
        <v>256</v>
      </c>
      <c r="B16">
        <v>15</v>
      </c>
      <c r="C16" s="4" t="s">
        <v>285</v>
      </c>
      <c r="D16" s="5" t="s">
        <v>2652</v>
      </c>
      <c r="E16" s="4" t="s">
        <v>286</v>
      </c>
      <c r="F16" s="4" t="s">
        <v>1687</v>
      </c>
    </row>
    <row r="17" spans="1:6" x14ac:dyDescent="0.25">
      <c r="A17" s="4" t="s">
        <v>256</v>
      </c>
      <c r="B17">
        <v>16</v>
      </c>
      <c r="C17" s="4" t="s">
        <v>287</v>
      </c>
      <c r="D17" s="5" t="s">
        <v>2619</v>
      </c>
      <c r="E17" s="4" t="s">
        <v>288</v>
      </c>
      <c r="F17" s="4" t="s">
        <v>1688</v>
      </c>
    </row>
    <row r="18" spans="1:6" x14ac:dyDescent="0.25">
      <c r="A18" s="4" t="s">
        <v>256</v>
      </c>
      <c r="B18">
        <v>17</v>
      </c>
      <c r="C18" s="4" t="s">
        <v>289</v>
      </c>
      <c r="D18" s="5" t="s">
        <v>2653</v>
      </c>
      <c r="E18" s="4" t="s">
        <v>290</v>
      </c>
      <c r="F18" s="4" t="s">
        <v>1689</v>
      </c>
    </row>
    <row r="19" spans="1:6" x14ac:dyDescent="0.25">
      <c r="A19" s="4" t="s">
        <v>256</v>
      </c>
      <c r="B19">
        <v>18</v>
      </c>
      <c r="C19" s="4" t="s">
        <v>291</v>
      </c>
      <c r="D19" s="5" t="s">
        <v>2654</v>
      </c>
      <c r="E19" s="4" t="s">
        <v>292</v>
      </c>
      <c r="F19" s="4" t="s">
        <v>1690</v>
      </c>
    </row>
    <row r="20" spans="1:6" x14ac:dyDescent="0.25">
      <c r="A20" s="4" t="s">
        <v>256</v>
      </c>
      <c r="B20">
        <v>19</v>
      </c>
      <c r="C20" s="4" t="s">
        <v>293</v>
      </c>
      <c r="D20" s="5" t="s">
        <v>2655</v>
      </c>
      <c r="E20" s="4" t="s">
        <v>294</v>
      </c>
      <c r="F20" s="4" t="s">
        <v>1691</v>
      </c>
    </row>
    <row r="21" spans="1:6" x14ac:dyDescent="0.25">
      <c r="A21" s="4" t="s">
        <v>256</v>
      </c>
      <c r="B21">
        <v>20</v>
      </c>
      <c r="C21" s="4" t="s">
        <v>295</v>
      </c>
      <c r="D21" s="5" t="s">
        <v>2656</v>
      </c>
      <c r="E21" s="4" t="s">
        <v>296</v>
      </c>
      <c r="F21" s="4" t="s">
        <v>1692</v>
      </c>
    </row>
    <row r="22" spans="1:6" x14ac:dyDescent="0.25">
      <c r="A22" s="4" t="s">
        <v>256</v>
      </c>
      <c r="B22">
        <v>21</v>
      </c>
      <c r="C22" s="4" t="s">
        <v>297</v>
      </c>
      <c r="D22" s="5" t="s">
        <v>2657</v>
      </c>
      <c r="E22" s="4" t="s">
        <v>298</v>
      </c>
      <c r="F22" s="4" t="s">
        <v>1693</v>
      </c>
    </row>
    <row r="23" spans="1:6" x14ac:dyDescent="0.25">
      <c r="A23" s="4" t="s">
        <v>256</v>
      </c>
      <c r="B23">
        <v>22</v>
      </c>
      <c r="C23" s="4" t="s">
        <v>299</v>
      </c>
      <c r="D23" s="5" t="s">
        <v>2658</v>
      </c>
      <c r="E23" s="4" t="s">
        <v>300</v>
      </c>
      <c r="F23" s="4" t="s">
        <v>1694</v>
      </c>
    </row>
    <row r="24" spans="1:6" x14ac:dyDescent="0.25">
      <c r="A24" s="4" t="s">
        <v>256</v>
      </c>
      <c r="B24">
        <v>23</v>
      </c>
      <c r="C24" s="4" t="s">
        <v>301</v>
      </c>
      <c r="D24" s="5" t="s">
        <v>302</v>
      </c>
      <c r="E24" s="4" t="s">
        <v>302</v>
      </c>
      <c r="F24" s="4" t="s">
        <v>302</v>
      </c>
    </row>
    <row r="25" spans="1:6" x14ac:dyDescent="0.25">
      <c r="A25" s="4" t="s">
        <v>256</v>
      </c>
      <c r="B25">
        <v>24</v>
      </c>
      <c r="C25" s="4" t="s">
        <v>303</v>
      </c>
      <c r="D25" s="5" t="s">
        <v>2603</v>
      </c>
      <c r="E25" s="4" t="s">
        <v>304</v>
      </c>
      <c r="F25" s="4" t="s">
        <v>1695</v>
      </c>
    </row>
    <row r="26" spans="1:6" x14ac:dyDescent="0.25">
      <c r="A26" s="4" t="s">
        <v>256</v>
      </c>
      <c r="B26">
        <v>25</v>
      </c>
      <c r="C26" s="4" t="s">
        <v>305</v>
      </c>
      <c r="D26" s="5" t="s">
        <v>2659</v>
      </c>
      <c r="E26" s="4" t="s">
        <v>306</v>
      </c>
      <c r="F26" s="4" t="s">
        <v>1696</v>
      </c>
    </row>
    <row r="27" spans="1:6" x14ac:dyDescent="0.25">
      <c r="A27" s="4" t="s">
        <v>256</v>
      </c>
      <c r="B27">
        <v>26</v>
      </c>
      <c r="C27" s="4" t="s">
        <v>307</v>
      </c>
      <c r="D27" s="5" t="s">
        <v>2660</v>
      </c>
      <c r="E27" s="4" t="s">
        <v>308</v>
      </c>
      <c r="F27" s="4" t="s">
        <v>1697</v>
      </c>
    </row>
    <row r="28" spans="1:6" x14ac:dyDescent="0.25">
      <c r="A28" s="4" t="s">
        <v>256</v>
      </c>
      <c r="B28">
        <v>27</v>
      </c>
      <c r="C28" s="4" t="s">
        <v>309</v>
      </c>
      <c r="D28" s="5" t="s">
        <v>302</v>
      </c>
      <c r="E28" s="4" t="s">
        <v>302</v>
      </c>
      <c r="F28" s="4" t="s">
        <v>302</v>
      </c>
    </row>
    <row r="29" spans="1:6" x14ac:dyDescent="0.25">
      <c r="A29" s="4" t="s">
        <v>256</v>
      </c>
      <c r="B29">
        <v>28</v>
      </c>
      <c r="C29" s="4" t="s">
        <v>310</v>
      </c>
      <c r="D29" s="5" t="s">
        <v>2661</v>
      </c>
      <c r="E29" s="4" t="s">
        <v>311</v>
      </c>
      <c r="F29" s="4" t="s">
        <v>1698</v>
      </c>
    </row>
    <row r="30" spans="1:6" x14ac:dyDescent="0.25">
      <c r="A30" s="4" t="s">
        <v>256</v>
      </c>
      <c r="B30">
        <v>29</v>
      </c>
      <c r="C30" s="4" t="s">
        <v>312</v>
      </c>
      <c r="D30" s="5" t="s">
        <v>302</v>
      </c>
      <c r="E30" s="4" t="s">
        <v>302</v>
      </c>
      <c r="F30" s="4" t="s">
        <v>302</v>
      </c>
    </row>
    <row r="31" spans="1:6" x14ac:dyDescent="0.25">
      <c r="A31" s="4" t="s">
        <v>256</v>
      </c>
      <c r="B31">
        <v>30</v>
      </c>
      <c r="C31" s="4" t="s">
        <v>313</v>
      </c>
      <c r="D31" s="5" t="s">
        <v>302</v>
      </c>
      <c r="E31" s="4" t="s">
        <v>302</v>
      </c>
      <c r="F31" s="4" t="s">
        <v>302</v>
      </c>
    </row>
    <row r="32" spans="1:6" x14ac:dyDescent="0.25">
      <c r="A32" s="4" t="s">
        <v>256</v>
      </c>
      <c r="B32">
        <v>31</v>
      </c>
      <c r="C32" s="4" t="s">
        <v>314</v>
      </c>
      <c r="D32" s="5" t="s">
        <v>302</v>
      </c>
      <c r="E32" s="4" t="s">
        <v>302</v>
      </c>
      <c r="F32" s="4" t="s">
        <v>302</v>
      </c>
    </row>
    <row r="33" spans="1:6" x14ac:dyDescent="0.25">
      <c r="A33" s="4" t="s">
        <v>256</v>
      </c>
      <c r="B33">
        <v>32</v>
      </c>
      <c r="C33" s="4" t="s">
        <v>315</v>
      </c>
      <c r="D33" s="5" t="s">
        <v>302</v>
      </c>
      <c r="E33" s="4" t="s">
        <v>302</v>
      </c>
      <c r="F33" s="4" t="s">
        <v>302</v>
      </c>
    </row>
    <row r="34" spans="1:6" x14ac:dyDescent="0.25">
      <c r="A34" s="4" t="s">
        <v>256</v>
      </c>
      <c r="B34">
        <v>33</v>
      </c>
      <c r="C34" s="4" t="s">
        <v>316</v>
      </c>
      <c r="D34" s="5" t="s">
        <v>317</v>
      </c>
      <c r="E34" s="4" t="s">
        <v>318</v>
      </c>
      <c r="F34" s="4" t="s">
        <v>1699</v>
      </c>
    </row>
    <row r="35" spans="1:6" x14ac:dyDescent="0.25">
      <c r="A35" s="4" t="s">
        <v>256</v>
      </c>
      <c r="B35">
        <v>34</v>
      </c>
      <c r="C35" s="4" t="s">
        <v>319</v>
      </c>
      <c r="D35" s="5" t="s">
        <v>2662</v>
      </c>
      <c r="E35" s="4" t="s">
        <v>320</v>
      </c>
      <c r="F35" s="4" t="s">
        <v>320</v>
      </c>
    </row>
    <row r="36" spans="1:6" x14ac:dyDescent="0.25">
      <c r="A36" s="4" t="s">
        <v>256</v>
      </c>
      <c r="B36">
        <v>35</v>
      </c>
      <c r="C36" s="4" t="s">
        <v>321</v>
      </c>
      <c r="D36" s="5" t="s">
        <v>2663</v>
      </c>
      <c r="E36" s="4" t="s">
        <v>322</v>
      </c>
      <c r="F36" s="4" t="s">
        <v>1700</v>
      </c>
    </row>
    <row r="37" spans="1:6" x14ac:dyDescent="0.25">
      <c r="A37" s="4" t="s">
        <v>256</v>
      </c>
      <c r="B37">
        <v>36</v>
      </c>
      <c r="C37" s="4" t="s">
        <v>323</v>
      </c>
      <c r="D37" s="5" t="s">
        <v>302</v>
      </c>
      <c r="E37" s="4" t="s">
        <v>302</v>
      </c>
      <c r="F37" s="4" t="s">
        <v>302</v>
      </c>
    </row>
    <row r="38" spans="1:6" x14ac:dyDescent="0.25">
      <c r="A38" s="4" t="s">
        <v>256</v>
      </c>
      <c r="B38">
        <v>37</v>
      </c>
      <c r="C38" s="4" t="s">
        <v>324</v>
      </c>
      <c r="D38" s="5" t="s">
        <v>302</v>
      </c>
      <c r="E38" s="4" t="s">
        <v>302</v>
      </c>
      <c r="F38" s="4" t="s">
        <v>302</v>
      </c>
    </row>
    <row r="39" spans="1:6" x14ac:dyDescent="0.25">
      <c r="A39" s="4" t="s">
        <v>256</v>
      </c>
      <c r="B39">
        <v>38</v>
      </c>
      <c r="C39" s="4" t="s">
        <v>325</v>
      </c>
      <c r="D39" s="5" t="s">
        <v>302</v>
      </c>
      <c r="E39" s="4" t="s">
        <v>302</v>
      </c>
      <c r="F39" s="4" t="s">
        <v>302</v>
      </c>
    </row>
    <row r="40" spans="1:6" x14ac:dyDescent="0.25">
      <c r="A40" s="4" t="s">
        <v>256</v>
      </c>
      <c r="B40">
        <v>39</v>
      </c>
      <c r="C40" s="4" t="s">
        <v>281</v>
      </c>
      <c r="D40" s="5" t="s">
        <v>2650</v>
      </c>
      <c r="E40" s="4" t="s">
        <v>282</v>
      </c>
      <c r="F40" s="4" t="s">
        <v>1685</v>
      </c>
    </row>
    <row r="41" spans="1:6" x14ac:dyDescent="0.25">
      <c r="A41" s="4" t="s">
        <v>256</v>
      </c>
      <c r="B41">
        <v>40</v>
      </c>
      <c r="C41" s="4" t="s">
        <v>326</v>
      </c>
      <c r="D41" s="5" t="s">
        <v>302</v>
      </c>
      <c r="E41" s="4" t="s">
        <v>302</v>
      </c>
      <c r="F41" s="4" t="s">
        <v>302</v>
      </c>
    </row>
    <row r="42" spans="1:6" x14ac:dyDescent="0.25">
      <c r="A42" s="4" t="s">
        <v>256</v>
      </c>
      <c r="B42">
        <v>41</v>
      </c>
      <c r="C42" s="4" t="s">
        <v>327</v>
      </c>
      <c r="D42" s="5" t="s">
        <v>302</v>
      </c>
      <c r="E42" s="4" t="s">
        <v>302</v>
      </c>
      <c r="F42" s="4" t="s">
        <v>302</v>
      </c>
    </row>
    <row r="43" spans="1:6" x14ac:dyDescent="0.25">
      <c r="A43" s="4" t="s">
        <v>256</v>
      </c>
      <c r="B43">
        <v>42</v>
      </c>
      <c r="C43" s="4" t="s">
        <v>328</v>
      </c>
      <c r="D43" s="5" t="s">
        <v>2664</v>
      </c>
      <c r="E43" s="4" t="s">
        <v>2557</v>
      </c>
      <c r="F43" s="4" t="s">
        <v>2558</v>
      </c>
    </row>
    <row r="44" spans="1:6" x14ac:dyDescent="0.25">
      <c r="A44" s="4" t="s">
        <v>256</v>
      </c>
      <c r="B44">
        <v>43</v>
      </c>
      <c r="C44" s="4" t="s">
        <v>329</v>
      </c>
      <c r="D44" s="5" t="s">
        <v>302</v>
      </c>
      <c r="E44" s="4" t="s">
        <v>302</v>
      </c>
      <c r="F44" s="4" t="s">
        <v>302</v>
      </c>
    </row>
    <row r="45" spans="1:6" x14ac:dyDescent="0.25">
      <c r="A45" s="4" t="s">
        <v>256</v>
      </c>
      <c r="B45">
        <v>44</v>
      </c>
      <c r="C45" s="4" t="s">
        <v>330</v>
      </c>
      <c r="D45" s="5" t="s">
        <v>302</v>
      </c>
      <c r="E45" s="4" t="s">
        <v>302</v>
      </c>
      <c r="F45" s="4" t="s">
        <v>302</v>
      </c>
    </row>
    <row r="46" spans="1:6" x14ac:dyDescent="0.25">
      <c r="A46" s="4" t="s">
        <v>256</v>
      </c>
      <c r="B46">
        <v>45</v>
      </c>
      <c r="C46" s="4" t="s">
        <v>331</v>
      </c>
      <c r="D46" s="5" t="s">
        <v>2665</v>
      </c>
      <c r="E46" s="4" t="s">
        <v>332</v>
      </c>
      <c r="F46" s="4" t="s">
        <v>1701</v>
      </c>
    </row>
    <row r="47" spans="1:6" x14ac:dyDescent="0.25">
      <c r="A47" s="4" t="s">
        <v>256</v>
      </c>
      <c r="B47">
        <v>46</v>
      </c>
      <c r="C47" s="4" t="s">
        <v>333</v>
      </c>
      <c r="D47" s="5" t="s">
        <v>302</v>
      </c>
      <c r="E47" s="4" t="s">
        <v>302</v>
      </c>
      <c r="F47" s="4" t="s">
        <v>302</v>
      </c>
    </row>
    <row r="48" spans="1:6" x14ac:dyDescent="0.25">
      <c r="A48" s="4" t="s">
        <v>256</v>
      </c>
      <c r="B48">
        <v>47</v>
      </c>
      <c r="C48" s="4" t="s">
        <v>334</v>
      </c>
      <c r="D48" s="5" t="s">
        <v>2666</v>
      </c>
      <c r="E48" s="4" t="s">
        <v>335</v>
      </c>
      <c r="F48" s="4" t="s">
        <v>1702</v>
      </c>
    </row>
    <row r="49" spans="1:6" x14ac:dyDescent="0.25">
      <c r="A49" s="4" t="s">
        <v>256</v>
      </c>
      <c r="B49">
        <v>48</v>
      </c>
      <c r="C49" s="4" t="s">
        <v>336</v>
      </c>
      <c r="D49" s="5" t="s">
        <v>2667</v>
      </c>
      <c r="E49" s="4" t="s">
        <v>1638</v>
      </c>
      <c r="F49" s="4" t="s">
        <v>1703</v>
      </c>
    </row>
    <row r="50" spans="1:6" x14ac:dyDescent="0.25">
      <c r="A50" s="4" t="s">
        <v>256</v>
      </c>
      <c r="B50">
        <v>49</v>
      </c>
      <c r="C50" s="4" t="s">
        <v>337</v>
      </c>
      <c r="D50" s="5" t="s">
        <v>302</v>
      </c>
      <c r="E50" s="4" t="s">
        <v>302</v>
      </c>
      <c r="F50" s="4" t="s">
        <v>302</v>
      </c>
    </row>
    <row r="51" spans="1:6" x14ac:dyDescent="0.25">
      <c r="A51" s="4" t="s">
        <v>256</v>
      </c>
      <c r="B51">
        <v>50</v>
      </c>
      <c r="C51" s="4" t="s">
        <v>338</v>
      </c>
      <c r="D51" s="5" t="s">
        <v>2668</v>
      </c>
      <c r="E51" s="4" t="s">
        <v>339</v>
      </c>
      <c r="F51" s="4" t="s">
        <v>1704</v>
      </c>
    </row>
    <row r="52" spans="1:6" x14ac:dyDescent="0.25">
      <c r="A52" s="4" t="s">
        <v>256</v>
      </c>
      <c r="B52">
        <v>51</v>
      </c>
      <c r="C52" s="4" t="s">
        <v>340</v>
      </c>
      <c r="D52" s="5" t="s">
        <v>302</v>
      </c>
      <c r="E52" s="4" t="s">
        <v>302</v>
      </c>
      <c r="F52" s="4" t="s">
        <v>302</v>
      </c>
    </row>
    <row r="53" spans="1:6" x14ac:dyDescent="0.25">
      <c r="A53" s="4" t="s">
        <v>256</v>
      </c>
      <c r="B53">
        <v>52</v>
      </c>
      <c r="C53" s="4" t="s">
        <v>341</v>
      </c>
      <c r="D53" s="5" t="s">
        <v>2669</v>
      </c>
      <c r="E53" s="4" t="s">
        <v>2390</v>
      </c>
      <c r="F53" s="4" t="s">
        <v>2391</v>
      </c>
    </row>
    <row r="54" spans="1:6" x14ac:dyDescent="0.25">
      <c r="A54" s="4" t="s">
        <v>256</v>
      </c>
      <c r="B54">
        <v>53</v>
      </c>
      <c r="C54" s="4" t="s">
        <v>342</v>
      </c>
      <c r="D54" s="5" t="s">
        <v>2670</v>
      </c>
      <c r="E54" s="4" t="s">
        <v>343</v>
      </c>
      <c r="F54" s="4" t="s">
        <v>1705</v>
      </c>
    </row>
    <row r="55" spans="1:6" x14ac:dyDescent="0.25">
      <c r="A55" s="4" t="s">
        <v>256</v>
      </c>
      <c r="B55">
        <v>54</v>
      </c>
      <c r="C55" s="4" t="s">
        <v>344</v>
      </c>
      <c r="D55" s="5" t="s">
        <v>2671</v>
      </c>
      <c r="E55" s="4" t="s">
        <v>345</v>
      </c>
      <c r="F55" s="4" t="s">
        <v>1706</v>
      </c>
    </row>
    <row r="56" spans="1:6" x14ac:dyDescent="0.25">
      <c r="A56" s="4" t="s">
        <v>256</v>
      </c>
      <c r="B56">
        <v>55</v>
      </c>
      <c r="C56" s="4" t="s">
        <v>346</v>
      </c>
      <c r="D56" s="5" t="s">
        <v>302</v>
      </c>
      <c r="E56" s="4" t="s">
        <v>302</v>
      </c>
      <c r="F56" s="4" t="s">
        <v>302</v>
      </c>
    </row>
    <row r="57" spans="1:6" x14ac:dyDescent="0.25">
      <c r="A57" s="4" t="s">
        <v>256</v>
      </c>
      <c r="B57">
        <v>56</v>
      </c>
      <c r="C57" s="4" t="s">
        <v>347</v>
      </c>
      <c r="D57" s="5" t="s">
        <v>302</v>
      </c>
      <c r="E57" s="4" t="s">
        <v>302</v>
      </c>
      <c r="F57" s="4" t="s">
        <v>302</v>
      </c>
    </row>
    <row r="58" spans="1:6" x14ac:dyDescent="0.25">
      <c r="A58" s="4" t="s">
        <v>256</v>
      </c>
      <c r="B58">
        <v>57</v>
      </c>
      <c r="C58" s="4" t="s">
        <v>348</v>
      </c>
      <c r="D58" s="5" t="s">
        <v>302</v>
      </c>
      <c r="E58" s="4" t="s">
        <v>302</v>
      </c>
      <c r="F58" s="4" t="s">
        <v>302</v>
      </c>
    </row>
    <row r="59" spans="1:6" x14ac:dyDescent="0.25">
      <c r="A59" s="4" t="s">
        <v>256</v>
      </c>
      <c r="B59">
        <v>58</v>
      </c>
      <c r="C59" s="4" t="s">
        <v>349</v>
      </c>
      <c r="D59" s="5" t="s">
        <v>2672</v>
      </c>
      <c r="E59" s="4" t="s">
        <v>350</v>
      </c>
      <c r="F59" s="4" t="s">
        <v>1707</v>
      </c>
    </row>
    <row r="60" spans="1:6" x14ac:dyDescent="0.25">
      <c r="A60" s="4" t="s">
        <v>256</v>
      </c>
      <c r="B60">
        <v>59</v>
      </c>
      <c r="C60" s="4" t="s">
        <v>351</v>
      </c>
      <c r="D60" s="5" t="s">
        <v>302</v>
      </c>
      <c r="E60" s="4" t="s">
        <v>302</v>
      </c>
      <c r="F60" s="4" t="s">
        <v>302</v>
      </c>
    </row>
    <row r="61" spans="1:6" x14ac:dyDescent="0.25">
      <c r="A61" s="4" t="s">
        <v>256</v>
      </c>
      <c r="B61">
        <v>60</v>
      </c>
      <c r="C61" s="4" t="s">
        <v>352</v>
      </c>
      <c r="D61" s="5" t="s">
        <v>302</v>
      </c>
      <c r="E61" s="4" t="s">
        <v>302</v>
      </c>
      <c r="F61" s="4" t="s">
        <v>302</v>
      </c>
    </row>
    <row r="62" spans="1:6" x14ac:dyDescent="0.25">
      <c r="A62" s="4" t="s">
        <v>256</v>
      </c>
      <c r="B62">
        <v>61</v>
      </c>
      <c r="C62" s="4" t="s">
        <v>353</v>
      </c>
      <c r="D62" s="5" t="s">
        <v>302</v>
      </c>
      <c r="E62" s="4" t="s">
        <v>302</v>
      </c>
      <c r="F62" s="4" t="s">
        <v>302</v>
      </c>
    </row>
    <row r="63" spans="1:6" x14ac:dyDescent="0.25">
      <c r="A63" s="4" t="s">
        <v>256</v>
      </c>
      <c r="B63">
        <v>62</v>
      </c>
      <c r="C63" s="4" t="s">
        <v>354</v>
      </c>
      <c r="D63" s="5" t="s">
        <v>302</v>
      </c>
      <c r="E63" s="4" t="s">
        <v>302</v>
      </c>
      <c r="F63" s="4" t="s">
        <v>302</v>
      </c>
    </row>
    <row r="64" spans="1:6" x14ac:dyDescent="0.25">
      <c r="A64" s="4" t="s">
        <v>256</v>
      </c>
      <c r="B64">
        <v>63</v>
      </c>
      <c r="C64" s="4" t="s">
        <v>355</v>
      </c>
      <c r="D64" s="5" t="s">
        <v>302</v>
      </c>
      <c r="E64" s="4" t="s">
        <v>302</v>
      </c>
      <c r="F64" s="4" t="s">
        <v>302</v>
      </c>
    </row>
    <row r="65" spans="1:6" x14ac:dyDescent="0.25">
      <c r="A65" s="4" t="s">
        <v>256</v>
      </c>
      <c r="B65">
        <v>64</v>
      </c>
      <c r="C65" s="4" t="s">
        <v>356</v>
      </c>
      <c r="D65" s="5" t="s">
        <v>2673</v>
      </c>
      <c r="E65" s="4" t="s">
        <v>357</v>
      </c>
      <c r="F65" s="4" t="s">
        <v>1708</v>
      </c>
    </row>
    <row r="66" spans="1:6" x14ac:dyDescent="0.25">
      <c r="A66" s="4" t="s">
        <v>256</v>
      </c>
      <c r="B66">
        <v>65</v>
      </c>
      <c r="C66" s="4" t="s">
        <v>358</v>
      </c>
      <c r="D66" s="5" t="s">
        <v>2606</v>
      </c>
      <c r="E66" s="4" t="s">
        <v>359</v>
      </c>
      <c r="F66" s="4" t="s">
        <v>1709</v>
      </c>
    </row>
    <row r="67" spans="1:6" x14ac:dyDescent="0.25">
      <c r="A67" s="4" t="s">
        <v>256</v>
      </c>
      <c r="B67">
        <v>66</v>
      </c>
      <c r="C67" s="4" t="s">
        <v>360</v>
      </c>
      <c r="D67" s="5" t="s">
        <v>302</v>
      </c>
      <c r="E67" s="4" t="s">
        <v>302</v>
      </c>
      <c r="F67" s="4" t="s">
        <v>302</v>
      </c>
    </row>
    <row r="68" spans="1:6" x14ac:dyDescent="0.25">
      <c r="A68" s="4" t="s">
        <v>256</v>
      </c>
      <c r="B68">
        <v>67</v>
      </c>
      <c r="C68" s="4" t="s">
        <v>361</v>
      </c>
      <c r="D68" s="5" t="s">
        <v>2674</v>
      </c>
      <c r="E68" s="4" t="s">
        <v>362</v>
      </c>
      <c r="F68" s="4" t="s">
        <v>1710</v>
      </c>
    </row>
    <row r="69" spans="1:6" x14ac:dyDescent="0.25">
      <c r="A69" s="4" t="s">
        <v>256</v>
      </c>
      <c r="B69">
        <v>68</v>
      </c>
      <c r="C69" s="4" t="s">
        <v>363</v>
      </c>
      <c r="D69" s="5" t="s">
        <v>302</v>
      </c>
      <c r="E69" s="4" t="s">
        <v>302</v>
      </c>
      <c r="F69" s="4" t="s">
        <v>302</v>
      </c>
    </row>
    <row r="70" spans="1:6" x14ac:dyDescent="0.25">
      <c r="A70" s="4" t="s">
        <v>256</v>
      </c>
      <c r="B70">
        <v>69</v>
      </c>
      <c r="C70" s="4" t="s">
        <v>364</v>
      </c>
      <c r="D70" s="5" t="s">
        <v>2675</v>
      </c>
      <c r="E70" s="4" t="s">
        <v>365</v>
      </c>
      <c r="F70" s="4" t="s">
        <v>1711</v>
      </c>
    </row>
    <row r="71" spans="1:6" x14ac:dyDescent="0.25">
      <c r="A71" s="4" t="s">
        <v>256</v>
      </c>
      <c r="B71">
        <v>70</v>
      </c>
      <c r="C71" s="4" t="s">
        <v>366</v>
      </c>
      <c r="D71" s="5" t="s">
        <v>302</v>
      </c>
      <c r="E71" s="4" t="s">
        <v>302</v>
      </c>
      <c r="F71" s="4" t="s">
        <v>302</v>
      </c>
    </row>
    <row r="72" spans="1:6" x14ac:dyDescent="0.25">
      <c r="A72" s="4" t="s">
        <v>256</v>
      </c>
      <c r="B72">
        <v>71</v>
      </c>
      <c r="C72" s="4" t="s">
        <v>367</v>
      </c>
      <c r="D72" s="5" t="s">
        <v>2676</v>
      </c>
      <c r="E72" s="4" t="s">
        <v>368</v>
      </c>
      <c r="F72" s="4" t="s">
        <v>1712</v>
      </c>
    </row>
    <row r="73" spans="1:6" x14ac:dyDescent="0.25">
      <c r="A73" s="4" t="s">
        <v>256</v>
      </c>
      <c r="B73">
        <v>72</v>
      </c>
      <c r="C73" s="4" t="s">
        <v>369</v>
      </c>
      <c r="D73" s="5" t="s">
        <v>2677</v>
      </c>
      <c r="E73" s="4" t="s">
        <v>370</v>
      </c>
      <c r="F73" s="4" t="s">
        <v>1713</v>
      </c>
    </row>
    <row r="74" spans="1:6" x14ac:dyDescent="0.25">
      <c r="A74" s="4" t="s">
        <v>256</v>
      </c>
      <c r="B74">
        <v>73</v>
      </c>
      <c r="C74" s="4" t="s">
        <v>371</v>
      </c>
      <c r="D74" s="5" t="s">
        <v>2576</v>
      </c>
      <c r="E74" s="4" t="s">
        <v>372</v>
      </c>
      <c r="F74" s="4" t="s">
        <v>1714</v>
      </c>
    </row>
    <row r="75" spans="1:6" x14ac:dyDescent="0.25">
      <c r="A75" s="4" t="s">
        <v>256</v>
      </c>
      <c r="B75">
        <v>74</v>
      </c>
      <c r="C75" s="4" t="s">
        <v>373</v>
      </c>
      <c r="D75" s="5" t="s">
        <v>2678</v>
      </c>
      <c r="E75" s="4" t="s">
        <v>374</v>
      </c>
      <c r="F75" s="4" t="s">
        <v>1715</v>
      </c>
    </row>
    <row r="76" spans="1:6" x14ac:dyDescent="0.25">
      <c r="A76" s="4" t="s">
        <v>256</v>
      </c>
      <c r="B76">
        <v>75</v>
      </c>
      <c r="C76" s="4" t="s">
        <v>375</v>
      </c>
      <c r="D76" s="5" t="s">
        <v>302</v>
      </c>
      <c r="E76" s="4" t="s">
        <v>302</v>
      </c>
      <c r="F76" s="4" t="s">
        <v>302</v>
      </c>
    </row>
    <row r="77" spans="1:6" x14ac:dyDescent="0.25">
      <c r="A77" s="4" t="s">
        <v>256</v>
      </c>
      <c r="B77">
        <v>76</v>
      </c>
      <c r="C77" s="4" t="s">
        <v>376</v>
      </c>
      <c r="D77" s="5" t="s">
        <v>302</v>
      </c>
      <c r="E77" s="4" t="s">
        <v>302</v>
      </c>
      <c r="F77" s="4" t="s">
        <v>302</v>
      </c>
    </row>
    <row r="78" spans="1:6" x14ac:dyDescent="0.25">
      <c r="A78" s="4" t="s">
        <v>256</v>
      </c>
      <c r="B78">
        <v>77</v>
      </c>
      <c r="C78" s="4" t="s">
        <v>377</v>
      </c>
      <c r="D78" s="5" t="s">
        <v>302</v>
      </c>
      <c r="E78" s="4" t="s">
        <v>302</v>
      </c>
      <c r="F78" s="4" t="s">
        <v>302</v>
      </c>
    </row>
    <row r="79" spans="1:6" x14ac:dyDescent="0.25">
      <c r="A79" s="4" t="s">
        <v>256</v>
      </c>
      <c r="B79">
        <v>78</v>
      </c>
      <c r="C79" s="4" t="s">
        <v>378</v>
      </c>
      <c r="D79" s="5" t="s">
        <v>302</v>
      </c>
      <c r="E79" s="4" t="s">
        <v>302</v>
      </c>
      <c r="F79" s="4" t="s">
        <v>302</v>
      </c>
    </row>
    <row r="80" spans="1:6" x14ac:dyDescent="0.25">
      <c r="A80" s="4" t="s">
        <v>256</v>
      </c>
      <c r="B80">
        <v>79</v>
      </c>
      <c r="C80" s="4" t="s">
        <v>379</v>
      </c>
      <c r="D80" s="5" t="s">
        <v>302</v>
      </c>
      <c r="E80" s="4" t="s">
        <v>302</v>
      </c>
      <c r="F80" s="4" t="s">
        <v>302</v>
      </c>
    </row>
    <row r="81" spans="1:6" x14ac:dyDescent="0.25">
      <c r="A81" s="4" t="s">
        <v>256</v>
      </c>
      <c r="B81">
        <v>80</v>
      </c>
      <c r="C81" s="4" t="s">
        <v>380</v>
      </c>
      <c r="D81" s="5" t="s">
        <v>302</v>
      </c>
      <c r="E81" s="4" t="s">
        <v>302</v>
      </c>
      <c r="F81" s="4" t="s">
        <v>302</v>
      </c>
    </row>
    <row r="82" spans="1:6" x14ac:dyDescent="0.25">
      <c r="A82" s="4" t="s">
        <v>256</v>
      </c>
      <c r="B82">
        <v>81</v>
      </c>
      <c r="C82" s="4" t="s">
        <v>381</v>
      </c>
      <c r="D82" s="5" t="s">
        <v>2679</v>
      </c>
      <c r="E82" s="4" t="s">
        <v>382</v>
      </c>
      <c r="F82" s="4" t="s">
        <v>1716</v>
      </c>
    </row>
    <row r="83" spans="1:6" x14ac:dyDescent="0.25">
      <c r="A83" s="4" t="s">
        <v>256</v>
      </c>
      <c r="B83">
        <v>82</v>
      </c>
      <c r="C83" s="4" t="s">
        <v>383</v>
      </c>
      <c r="D83" s="5" t="s">
        <v>302</v>
      </c>
      <c r="E83" s="4" t="s">
        <v>302</v>
      </c>
      <c r="F83" s="4" t="s">
        <v>302</v>
      </c>
    </row>
    <row r="84" spans="1:6" x14ac:dyDescent="0.25">
      <c r="A84" s="4" t="s">
        <v>256</v>
      </c>
      <c r="B84">
        <v>83</v>
      </c>
      <c r="C84" s="4" t="s">
        <v>384</v>
      </c>
      <c r="D84" s="5" t="s">
        <v>302</v>
      </c>
      <c r="E84" s="4" t="s">
        <v>302</v>
      </c>
      <c r="F84" s="4" t="s">
        <v>302</v>
      </c>
    </row>
    <row r="85" spans="1:6" x14ac:dyDescent="0.25">
      <c r="A85" s="4" t="s">
        <v>256</v>
      </c>
      <c r="B85">
        <v>84</v>
      </c>
      <c r="C85" s="4" t="s">
        <v>385</v>
      </c>
      <c r="D85" s="5" t="s">
        <v>2680</v>
      </c>
      <c r="E85" s="4" t="s">
        <v>386</v>
      </c>
      <c r="F85" s="4" t="s">
        <v>1717</v>
      </c>
    </row>
    <row r="86" spans="1:6" x14ac:dyDescent="0.25">
      <c r="A86" s="4" t="s">
        <v>256</v>
      </c>
      <c r="B86">
        <v>85</v>
      </c>
      <c r="C86" s="4" t="s">
        <v>387</v>
      </c>
      <c r="D86" s="5" t="s">
        <v>2575</v>
      </c>
      <c r="E86" s="4" t="s">
        <v>388</v>
      </c>
      <c r="F86" s="4" t="s">
        <v>1718</v>
      </c>
    </row>
    <row r="87" spans="1:6" x14ac:dyDescent="0.25">
      <c r="A87" s="4" t="s">
        <v>256</v>
      </c>
      <c r="B87">
        <v>86</v>
      </c>
      <c r="C87" s="4" t="s">
        <v>389</v>
      </c>
      <c r="D87" s="5" t="s">
        <v>302</v>
      </c>
      <c r="E87" s="4" t="s">
        <v>302</v>
      </c>
      <c r="F87" s="4" t="s">
        <v>302</v>
      </c>
    </row>
    <row r="88" spans="1:6" x14ac:dyDescent="0.25">
      <c r="A88" s="4" t="s">
        <v>256</v>
      </c>
      <c r="B88">
        <v>87</v>
      </c>
      <c r="C88" s="4" t="s">
        <v>390</v>
      </c>
      <c r="D88" s="5" t="s">
        <v>302</v>
      </c>
      <c r="E88" s="4" t="s">
        <v>302</v>
      </c>
      <c r="F88" s="4" t="s">
        <v>302</v>
      </c>
    </row>
    <row r="89" spans="1:6" x14ac:dyDescent="0.25">
      <c r="A89" s="4" t="s">
        <v>256</v>
      </c>
      <c r="B89">
        <v>88</v>
      </c>
      <c r="C89" s="4" t="s">
        <v>391</v>
      </c>
      <c r="D89" s="5" t="s">
        <v>302</v>
      </c>
      <c r="E89" s="4" t="s">
        <v>302</v>
      </c>
      <c r="F89" s="4" t="s">
        <v>302</v>
      </c>
    </row>
    <row r="90" spans="1:6" x14ac:dyDescent="0.25">
      <c r="A90" s="4" t="s">
        <v>256</v>
      </c>
      <c r="B90">
        <v>89</v>
      </c>
      <c r="C90" s="4" t="s">
        <v>392</v>
      </c>
      <c r="D90" s="5" t="s">
        <v>302</v>
      </c>
      <c r="E90" s="4" t="s">
        <v>302</v>
      </c>
      <c r="F90" s="4" t="s">
        <v>302</v>
      </c>
    </row>
    <row r="91" spans="1:6" x14ac:dyDescent="0.25">
      <c r="A91" s="4" t="s">
        <v>256</v>
      </c>
      <c r="B91">
        <v>90</v>
      </c>
      <c r="C91" s="4" t="s">
        <v>393</v>
      </c>
      <c r="D91" s="5" t="s">
        <v>302</v>
      </c>
      <c r="E91" s="4" t="s">
        <v>302</v>
      </c>
      <c r="F91" s="4" t="s">
        <v>302</v>
      </c>
    </row>
    <row r="92" spans="1:6" x14ac:dyDescent="0.25">
      <c r="A92" s="4" t="s">
        <v>256</v>
      </c>
      <c r="B92">
        <v>91</v>
      </c>
      <c r="C92" s="4" t="s">
        <v>394</v>
      </c>
      <c r="D92" s="5" t="s">
        <v>302</v>
      </c>
      <c r="E92" s="4" t="s">
        <v>302</v>
      </c>
      <c r="F92" s="4" t="s">
        <v>302</v>
      </c>
    </row>
    <row r="93" spans="1:6" x14ac:dyDescent="0.25">
      <c r="A93" s="4" t="s">
        <v>256</v>
      </c>
      <c r="B93">
        <v>92</v>
      </c>
      <c r="C93" s="4" t="s">
        <v>395</v>
      </c>
      <c r="D93" s="5" t="s">
        <v>302</v>
      </c>
      <c r="E93" s="4" t="s">
        <v>302</v>
      </c>
      <c r="F93" s="4" t="s">
        <v>302</v>
      </c>
    </row>
    <row r="94" spans="1:6" x14ac:dyDescent="0.25">
      <c r="A94" s="4" t="s">
        <v>256</v>
      </c>
      <c r="B94">
        <v>93</v>
      </c>
      <c r="C94" s="4" t="s">
        <v>305</v>
      </c>
      <c r="D94" s="5" t="s">
        <v>2659</v>
      </c>
      <c r="E94" s="4" t="s">
        <v>306</v>
      </c>
      <c r="F94" s="4" t="s">
        <v>1696</v>
      </c>
    </row>
    <row r="95" spans="1:6" x14ac:dyDescent="0.25">
      <c r="A95" s="4" t="s">
        <v>256</v>
      </c>
      <c r="B95">
        <v>94</v>
      </c>
      <c r="C95" s="4" t="s">
        <v>396</v>
      </c>
      <c r="D95" s="5" t="s">
        <v>302</v>
      </c>
      <c r="E95" s="4" t="s">
        <v>302</v>
      </c>
      <c r="F95" s="4" t="s">
        <v>302</v>
      </c>
    </row>
    <row r="96" spans="1:6" x14ac:dyDescent="0.25">
      <c r="A96" s="4" t="s">
        <v>256</v>
      </c>
      <c r="B96">
        <v>95</v>
      </c>
      <c r="C96" s="4" t="s">
        <v>397</v>
      </c>
      <c r="D96" s="5" t="s">
        <v>302</v>
      </c>
      <c r="E96" s="4" t="s">
        <v>302</v>
      </c>
      <c r="F96" s="4" t="s">
        <v>302</v>
      </c>
    </row>
    <row r="97" spans="1:6" x14ac:dyDescent="0.25">
      <c r="A97" s="4" t="s">
        <v>256</v>
      </c>
      <c r="B97">
        <v>96</v>
      </c>
      <c r="C97" s="4" t="s">
        <v>398</v>
      </c>
      <c r="D97" s="5" t="s">
        <v>2681</v>
      </c>
      <c r="E97" s="4" t="s">
        <v>399</v>
      </c>
      <c r="F97" s="4" t="s">
        <v>1719</v>
      </c>
    </row>
    <row r="98" spans="1:6" x14ac:dyDescent="0.25">
      <c r="A98" s="4" t="s">
        <v>256</v>
      </c>
      <c r="B98">
        <v>97</v>
      </c>
      <c r="C98" s="4" t="s">
        <v>400</v>
      </c>
      <c r="D98" s="5" t="s">
        <v>2682</v>
      </c>
      <c r="E98" s="4" t="s">
        <v>401</v>
      </c>
      <c r="F98" s="4" t="s">
        <v>1720</v>
      </c>
    </row>
    <row r="99" spans="1:6" x14ac:dyDescent="0.25">
      <c r="A99" s="4" t="s">
        <v>256</v>
      </c>
      <c r="B99">
        <v>98</v>
      </c>
      <c r="C99" s="4" t="s">
        <v>402</v>
      </c>
      <c r="D99" s="5" t="s">
        <v>302</v>
      </c>
      <c r="E99" s="4" t="s">
        <v>302</v>
      </c>
      <c r="F99" s="4" t="s">
        <v>302</v>
      </c>
    </row>
    <row r="100" spans="1:6" x14ac:dyDescent="0.25">
      <c r="A100" s="4" t="s">
        <v>256</v>
      </c>
      <c r="B100">
        <v>99</v>
      </c>
      <c r="C100" s="4" t="s">
        <v>403</v>
      </c>
      <c r="D100" s="5" t="s">
        <v>302</v>
      </c>
      <c r="E100" s="4" t="s">
        <v>302</v>
      </c>
      <c r="F100" s="4" t="s">
        <v>302</v>
      </c>
    </row>
    <row r="101" spans="1:6" x14ac:dyDescent="0.25">
      <c r="A101" s="4" t="s">
        <v>256</v>
      </c>
      <c r="B101">
        <v>100</v>
      </c>
      <c r="C101" s="4" t="s">
        <v>404</v>
      </c>
      <c r="D101" s="5" t="s">
        <v>2683</v>
      </c>
      <c r="E101" s="4" t="s">
        <v>405</v>
      </c>
      <c r="F101" s="4" t="s">
        <v>1721</v>
      </c>
    </row>
    <row r="102" spans="1:6" x14ac:dyDescent="0.25">
      <c r="A102" s="4" t="s">
        <v>256</v>
      </c>
      <c r="B102">
        <v>101</v>
      </c>
      <c r="C102" s="4" t="s">
        <v>406</v>
      </c>
      <c r="D102" s="5" t="s">
        <v>2684</v>
      </c>
      <c r="E102" s="4" t="s">
        <v>1642</v>
      </c>
      <c r="F102" s="4" t="s">
        <v>1722</v>
      </c>
    </row>
    <row r="103" spans="1:6" x14ac:dyDescent="0.25">
      <c r="A103" s="4" t="s">
        <v>256</v>
      </c>
      <c r="B103">
        <v>102</v>
      </c>
      <c r="C103" s="4" t="s">
        <v>407</v>
      </c>
      <c r="D103" s="5" t="s">
        <v>2685</v>
      </c>
      <c r="E103" s="4" t="s">
        <v>408</v>
      </c>
      <c r="F103" s="4" t="s">
        <v>1723</v>
      </c>
    </row>
    <row r="104" spans="1:6" x14ac:dyDescent="0.25">
      <c r="A104" s="4" t="s">
        <v>256</v>
      </c>
      <c r="B104">
        <v>103</v>
      </c>
      <c r="C104" s="4" t="s">
        <v>409</v>
      </c>
      <c r="D104" s="5" t="s">
        <v>2313</v>
      </c>
      <c r="E104" s="4" t="s">
        <v>410</v>
      </c>
      <c r="F104" s="4" t="s">
        <v>1724</v>
      </c>
    </row>
    <row r="105" spans="1:6" x14ac:dyDescent="0.25">
      <c r="A105" s="4" t="s">
        <v>256</v>
      </c>
      <c r="B105">
        <v>104</v>
      </c>
      <c r="C105" s="4" t="s">
        <v>411</v>
      </c>
      <c r="D105" s="5" t="s">
        <v>302</v>
      </c>
      <c r="E105" s="4" t="s">
        <v>302</v>
      </c>
      <c r="F105" s="4" t="s">
        <v>302</v>
      </c>
    </row>
    <row r="106" spans="1:6" x14ac:dyDescent="0.25">
      <c r="A106" s="4" t="s">
        <v>256</v>
      </c>
      <c r="B106">
        <v>105</v>
      </c>
      <c r="C106" s="4" t="s">
        <v>412</v>
      </c>
      <c r="D106" s="5" t="s">
        <v>302</v>
      </c>
      <c r="E106" s="4" t="s">
        <v>302</v>
      </c>
      <c r="F106" s="4" t="s">
        <v>302</v>
      </c>
    </row>
    <row r="107" spans="1:6" x14ac:dyDescent="0.25">
      <c r="A107" s="4" t="s">
        <v>256</v>
      </c>
      <c r="B107">
        <v>106</v>
      </c>
      <c r="C107" s="4" t="s">
        <v>413</v>
      </c>
      <c r="D107" s="5" t="s">
        <v>302</v>
      </c>
      <c r="E107" s="4" t="s">
        <v>302</v>
      </c>
      <c r="F107" s="4" t="s">
        <v>302</v>
      </c>
    </row>
    <row r="108" spans="1:6" x14ac:dyDescent="0.25">
      <c r="A108" s="4" t="s">
        <v>256</v>
      </c>
      <c r="B108">
        <v>107</v>
      </c>
      <c r="C108" s="4" t="s">
        <v>414</v>
      </c>
      <c r="D108" s="5" t="s">
        <v>2686</v>
      </c>
      <c r="E108" s="4" t="s">
        <v>415</v>
      </c>
      <c r="F108" s="4" t="s">
        <v>1725</v>
      </c>
    </row>
    <row r="109" spans="1:6" x14ac:dyDescent="0.25">
      <c r="A109" s="4" t="s">
        <v>256</v>
      </c>
      <c r="B109">
        <v>108</v>
      </c>
      <c r="C109" s="4" t="s">
        <v>416</v>
      </c>
      <c r="D109" s="5" t="s">
        <v>302</v>
      </c>
      <c r="E109" s="4" t="s">
        <v>302</v>
      </c>
      <c r="F109" s="4" t="s">
        <v>302</v>
      </c>
    </row>
    <row r="110" spans="1:6" x14ac:dyDescent="0.25">
      <c r="A110" s="4" t="s">
        <v>256</v>
      </c>
      <c r="B110">
        <v>109</v>
      </c>
      <c r="C110" s="4" t="s">
        <v>417</v>
      </c>
      <c r="D110" s="5" t="s">
        <v>2687</v>
      </c>
      <c r="E110" s="4" t="s">
        <v>418</v>
      </c>
      <c r="F110" s="4" t="s">
        <v>1726</v>
      </c>
    </row>
    <row r="111" spans="1:6" x14ac:dyDescent="0.25">
      <c r="A111" s="4" t="s">
        <v>256</v>
      </c>
      <c r="B111">
        <v>110</v>
      </c>
      <c r="C111" s="4" t="s">
        <v>419</v>
      </c>
      <c r="D111" s="5" t="s">
        <v>2251</v>
      </c>
      <c r="E111" s="4" t="s">
        <v>420</v>
      </c>
      <c r="F111" s="4" t="s">
        <v>1727</v>
      </c>
    </row>
    <row r="112" spans="1:6" x14ac:dyDescent="0.25">
      <c r="A112" s="4" t="s">
        <v>256</v>
      </c>
      <c r="B112">
        <v>111</v>
      </c>
      <c r="C112" s="4" t="s">
        <v>421</v>
      </c>
      <c r="D112" s="5" t="s">
        <v>302</v>
      </c>
      <c r="E112" s="4" t="s">
        <v>302</v>
      </c>
      <c r="F112" s="4" t="s">
        <v>302</v>
      </c>
    </row>
    <row r="113" spans="1:6" x14ac:dyDescent="0.25">
      <c r="A113" s="4" t="s">
        <v>256</v>
      </c>
      <c r="B113">
        <v>112</v>
      </c>
      <c r="C113" s="4" t="s">
        <v>422</v>
      </c>
      <c r="D113" s="5" t="s">
        <v>2688</v>
      </c>
      <c r="E113" s="4" t="s">
        <v>423</v>
      </c>
      <c r="F113" s="4" t="s">
        <v>1728</v>
      </c>
    </row>
    <row r="114" spans="1:6" x14ac:dyDescent="0.25">
      <c r="A114" s="4" t="s">
        <v>256</v>
      </c>
      <c r="B114">
        <v>113</v>
      </c>
      <c r="C114" s="4" t="s">
        <v>424</v>
      </c>
      <c r="D114" s="5" t="s">
        <v>302</v>
      </c>
      <c r="E114" s="4" t="s">
        <v>302</v>
      </c>
      <c r="F114" s="4" t="s">
        <v>302</v>
      </c>
    </row>
    <row r="115" spans="1:6" x14ac:dyDescent="0.25">
      <c r="A115" s="4" t="s">
        <v>256</v>
      </c>
      <c r="B115">
        <v>114</v>
      </c>
      <c r="C115" s="4" t="s">
        <v>425</v>
      </c>
      <c r="D115" s="5" t="s">
        <v>302</v>
      </c>
      <c r="E115" s="4" t="s">
        <v>302</v>
      </c>
      <c r="F115" s="4" t="s">
        <v>302</v>
      </c>
    </row>
    <row r="116" spans="1:6" x14ac:dyDescent="0.25">
      <c r="A116" s="4" t="s">
        <v>256</v>
      </c>
      <c r="B116">
        <v>115</v>
      </c>
      <c r="C116" s="4" t="s">
        <v>426</v>
      </c>
      <c r="D116" s="5" t="s">
        <v>2689</v>
      </c>
      <c r="E116" s="4" t="s">
        <v>427</v>
      </c>
      <c r="F116" s="4" t="s">
        <v>1729</v>
      </c>
    </row>
    <row r="117" spans="1:6" x14ac:dyDescent="0.25">
      <c r="A117" s="4" t="s">
        <v>256</v>
      </c>
      <c r="B117">
        <v>116</v>
      </c>
      <c r="C117" s="4" t="s">
        <v>428</v>
      </c>
      <c r="D117" s="5" t="s">
        <v>302</v>
      </c>
      <c r="E117" s="4" t="s">
        <v>302</v>
      </c>
      <c r="F117" s="4" t="s">
        <v>302</v>
      </c>
    </row>
    <row r="118" spans="1:6" x14ac:dyDescent="0.25">
      <c r="A118" s="4" t="s">
        <v>256</v>
      </c>
      <c r="B118">
        <v>117</v>
      </c>
      <c r="C118" s="4" t="s">
        <v>429</v>
      </c>
      <c r="D118" s="5" t="s">
        <v>317</v>
      </c>
      <c r="E118" s="4" t="s">
        <v>430</v>
      </c>
      <c r="F118" s="4" t="s">
        <v>1730</v>
      </c>
    </row>
    <row r="119" spans="1:6" x14ac:dyDescent="0.25">
      <c r="A119" s="4" t="s">
        <v>256</v>
      </c>
      <c r="B119">
        <v>118</v>
      </c>
      <c r="C119" s="4" t="s">
        <v>431</v>
      </c>
      <c r="D119" s="5" t="s">
        <v>2690</v>
      </c>
      <c r="E119" s="4" t="s">
        <v>432</v>
      </c>
      <c r="F119" s="4" t="s">
        <v>1731</v>
      </c>
    </row>
    <row r="120" spans="1:6" x14ac:dyDescent="0.25">
      <c r="A120" s="4" t="s">
        <v>256</v>
      </c>
      <c r="B120">
        <v>119</v>
      </c>
      <c r="C120" s="4" t="s">
        <v>433</v>
      </c>
      <c r="D120" s="5" t="s">
        <v>2691</v>
      </c>
      <c r="E120" s="4" t="s">
        <v>434</v>
      </c>
      <c r="F120" s="4" t="s">
        <v>1732</v>
      </c>
    </row>
    <row r="121" spans="1:6" x14ac:dyDescent="0.25">
      <c r="A121" s="4" t="s">
        <v>256</v>
      </c>
      <c r="B121">
        <v>120</v>
      </c>
      <c r="C121" s="4" t="s">
        <v>435</v>
      </c>
      <c r="D121" s="5" t="s">
        <v>2692</v>
      </c>
      <c r="E121" s="4" t="s">
        <v>436</v>
      </c>
      <c r="F121" s="4" t="s">
        <v>1733</v>
      </c>
    </row>
    <row r="122" spans="1:6" x14ac:dyDescent="0.25">
      <c r="A122" s="4" t="s">
        <v>256</v>
      </c>
      <c r="B122">
        <v>121</v>
      </c>
      <c r="C122" s="4" t="s">
        <v>437</v>
      </c>
      <c r="D122" s="5" t="s">
        <v>2397</v>
      </c>
      <c r="E122" s="4" t="s">
        <v>438</v>
      </c>
      <c r="F122" s="4" t="s">
        <v>1734</v>
      </c>
    </row>
    <row r="123" spans="1:6" x14ac:dyDescent="0.25">
      <c r="A123" s="4" t="s">
        <v>256</v>
      </c>
      <c r="B123">
        <v>122</v>
      </c>
      <c r="C123" s="4" t="s">
        <v>439</v>
      </c>
      <c r="D123" s="5" t="s">
        <v>302</v>
      </c>
      <c r="E123" s="4" t="s">
        <v>302</v>
      </c>
      <c r="F123" s="4" t="s">
        <v>302</v>
      </c>
    </row>
    <row r="124" spans="1:6" x14ac:dyDescent="0.25">
      <c r="A124" s="4" t="s">
        <v>256</v>
      </c>
      <c r="B124">
        <v>123</v>
      </c>
      <c r="C124" s="4" t="s">
        <v>440</v>
      </c>
      <c r="D124" s="5" t="s">
        <v>2612</v>
      </c>
      <c r="E124" s="4" t="s">
        <v>441</v>
      </c>
      <c r="F124" s="4" t="s">
        <v>1735</v>
      </c>
    </row>
    <row r="125" spans="1:6" x14ac:dyDescent="0.25">
      <c r="A125" s="4" t="s">
        <v>256</v>
      </c>
      <c r="B125">
        <v>124</v>
      </c>
      <c r="C125" s="4" t="s">
        <v>442</v>
      </c>
      <c r="D125" s="5" t="s">
        <v>302</v>
      </c>
      <c r="E125" s="4" t="s">
        <v>302</v>
      </c>
      <c r="F125" s="4" t="s">
        <v>302</v>
      </c>
    </row>
    <row r="126" spans="1:6" x14ac:dyDescent="0.25">
      <c r="A126" s="4" t="s">
        <v>256</v>
      </c>
      <c r="B126">
        <v>125</v>
      </c>
      <c r="C126" s="4" t="s">
        <v>443</v>
      </c>
      <c r="D126" s="5" t="s">
        <v>2577</v>
      </c>
      <c r="E126" s="4" t="s">
        <v>444</v>
      </c>
      <c r="F126" s="4" t="s">
        <v>1736</v>
      </c>
    </row>
    <row r="127" spans="1:6" x14ac:dyDescent="0.25">
      <c r="A127" s="4" t="s">
        <v>256</v>
      </c>
      <c r="B127">
        <v>126</v>
      </c>
      <c r="C127" s="4" t="s">
        <v>445</v>
      </c>
      <c r="D127" s="5" t="s">
        <v>2693</v>
      </c>
      <c r="E127" s="4" t="s">
        <v>446</v>
      </c>
      <c r="F127" s="4" t="s">
        <v>1737</v>
      </c>
    </row>
    <row r="128" spans="1:6" x14ac:dyDescent="0.25">
      <c r="A128" s="4" t="s">
        <v>256</v>
      </c>
      <c r="B128">
        <v>127</v>
      </c>
      <c r="C128" s="4" t="s">
        <v>447</v>
      </c>
      <c r="D128" s="5" t="s">
        <v>2694</v>
      </c>
      <c r="E128" s="4" t="s">
        <v>448</v>
      </c>
      <c r="F128" s="4" t="s">
        <v>1738</v>
      </c>
    </row>
    <row r="129" spans="1:6" x14ac:dyDescent="0.25">
      <c r="A129" s="4" t="s">
        <v>256</v>
      </c>
      <c r="B129">
        <v>128</v>
      </c>
      <c r="C129" s="4" t="s">
        <v>449</v>
      </c>
      <c r="D129" s="5" t="s">
        <v>302</v>
      </c>
      <c r="E129" s="4" t="s">
        <v>302</v>
      </c>
      <c r="F129" s="4" t="s">
        <v>302</v>
      </c>
    </row>
    <row r="130" spans="1:6" x14ac:dyDescent="0.25">
      <c r="A130" s="4" t="s">
        <v>256</v>
      </c>
      <c r="B130">
        <v>129</v>
      </c>
      <c r="C130" s="4" t="s">
        <v>450</v>
      </c>
      <c r="D130" s="5" t="s">
        <v>302</v>
      </c>
      <c r="E130" s="4" t="s">
        <v>302</v>
      </c>
      <c r="F130" s="4" t="s">
        <v>302</v>
      </c>
    </row>
    <row r="131" spans="1:6" x14ac:dyDescent="0.25">
      <c r="A131" s="4" t="s">
        <v>256</v>
      </c>
      <c r="B131">
        <v>130</v>
      </c>
      <c r="C131" s="4" t="s">
        <v>451</v>
      </c>
      <c r="D131" s="5" t="s">
        <v>302</v>
      </c>
      <c r="E131" s="4" t="s">
        <v>302</v>
      </c>
      <c r="F131" s="4" t="s">
        <v>302</v>
      </c>
    </row>
    <row r="132" spans="1:6" x14ac:dyDescent="0.25">
      <c r="A132" s="4" t="s">
        <v>256</v>
      </c>
      <c r="B132">
        <v>131</v>
      </c>
      <c r="C132" s="4" t="s">
        <v>452</v>
      </c>
      <c r="D132" s="5" t="s">
        <v>302</v>
      </c>
      <c r="E132" s="4" t="s">
        <v>302</v>
      </c>
      <c r="F132" s="4" t="s">
        <v>302</v>
      </c>
    </row>
    <row r="133" spans="1:6" x14ac:dyDescent="0.25">
      <c r="A133" s="4" t="s">
        <v>256</v>
      </c>
      <c r="B133">
        <v>132</v>
      </c>
      <c r="C133" s="4" t="s">
        <v>453</v>
      </c>
      <c r="D133" s="5" t="s">
        <v>302</v>
      </c>
      <c r="E133" s="4" t="s">
        <v>302</v>
      </c>
      <c r="F133" s="4" t="s">
        <v>302</v>
      </c>
    </row>
    <row r="134" spans="1:6" x14ac:dyDescent="0.25">
      <c r="A134" s="4" t="s">
        <v>256</v>
      </c>
      <c r="B134">
        <v>133</v>
      </c>
      <c r="C134" s="4" t="s">
        <v>454</v>
      </c>
      <c r="D134" s="5" t="s">
        <v>302</v>
      </c>
      <c r="E134" s="4" t="s">
        <v>302</v>
      </c>
      <c r="F134" s="4" t="s">
        <v>302</v>
      </c>
    </row>
    <row r="135" spans="1:6" x14ac:dyDescent="0.25">
      <c r="A135" s="4" t="s">
        <v>256</v>
      </c>
      <c r="B135">
        <v>134</v>
      </c>
      <c r="C135" s="4" t="s">
        <v>455</v>
      </c>
      <c r="D135" s="5" t="s">
        <v>302</v>
      </c>
      <c r="E135" s="4" t="s">
        <v>302</v>
      </c>
      <c r="F135" s="4" t="s">
        <v>302</v>
      </c>
    </row>
    <row r="136" spans="1:6" x14ac:dyDescent="0.25">
      <c r="A136" s="4" t="s">
        <v>256</v>
      </c>
      <c r="B136">
        <v>135</v>
      </c>
      <c r="C136" s="4" t="s">
        <v>285</v>
      </c>
      <c r="D136" s="5" t="s">
        <v>2652</v>
      </c>
      <c r="E136" s="4" t="s">
        <v>286</v>
      </c>
      <c r="F136" s="4" t="s">
        <v>1687</v>
      </c>
    </row>
    <row r="137" spans="1:6" x14ac:dyDescent="0.25">
      <c r="A137" s="4" t="s">
        <v>256</v>
      </c>
      <c r="B137">
        <v>136</v>
      </c>
      <c r="C137" s="4" t="s">
        <v>456</v>
      </c>
      <c r="D137" s="5" t="s">
        <v>2578</v>
      </c>
      <c r="E137" s="4" t="s">
        <v>457</v>
      </c>
      <c r="F137" s="4" t="s">
        <v>1739</v>
      </c>
    </row>
    <row r="138" spans="1:6" x14ac:dyDescent="0.25">
      <c r="A138" s="4" t="s">
        <v>256</v>
      </c>
      <c r="B138">
        <v>137</v>
      </c>
      <c r="C138" s="4" t="s">
        <v>458</v>
      </c>
      <c r="D138" s="5" t="s">
        <v>302</v>
      </c>
      <c r="E138" s="4" t="s">
        <v>302</v>
      </c>
      <c r="F138" s="4" t="s">
        <v>302</v>
      </c>
    </row>
    <row r="139" spans="1:6" x14ac:dyDescent="0.25">
      <c r="A139" s="4" t="s">
        <v>256</v>
      </c>
      <c r="B139">
        <v>138</v>
      </c>
      <c r="C139" s="4" t="s">
        <v>459</v>
      </c>
      <c r="D139" s="5" t="s">
        <v>302</v>
      </c>
      <c r="E139" s="4" t="s">
        <v>302</v>
      </c>
      <c r="F139" s="4" t="s">
        <v>302</v>
      </c>
    </row>
    <row r="140" spans="1:6" x14ac:dyDescent="0.25">
      <c r="A140" s="4" t="s">
        <v>256</v>
      </c>
      <c r="B140">
        <v>139</v>
      </c>
      <c r="C140" s="4" t="s">
        <v>460</v>
      </c>
      <c r="D140" s="5" t="s">
        <v>302</v>
      </c>
      <c r="E140" s="4" t="s">
        <v>302</v>
      </c>
      <c r="F140" s="4" t="s">
        <v>302</v>
      </c>
    </row>
    <row r="141" spans="1:6" x14ac:dyDescent="0.25">
      <c r="A141" s="4" t="s">
        <v>256</v>
      </c>
      <c r="B141">
        <v>140</v>
      </c>
      <c r="C141" s="4" t="s">
        <v>461</v>
      </c>
      <c r="D141" s="5" t="s">
        <v>2695</v>
      </c>
      <c r="E141" s="4" t="s">
        <v>462</v>
      </c>
      <c r="F141" s="4" t="s">
        <v>1740</v>
      </c>
    </row>
    <row r="142" spans="1:6" x14ac:dyDescent="0.25">
      <c r="A142" s="4" t="s">
        <v>256</v>
      </c>
      <c r="B142">
        <v>141</v>
      </c>
      <c r="C142" s="4" t="s">
        <v>463</v>
      </c>
      <c r="D142" s="5" t="s">
        <v>302</v>
      </c>
      <c r="E142" s="4" t="s">
        <v>302</v>
      </c>
      <c r="F142" s="4" t="s">
        <v>302</v>
      </c>
    </row>
    <row r="143" spans="1:6" x14ac:dyDescent="0.25">
      <c r="A143" s="4" t="s">
        <v>256</v>
      </c>
      <c r="B143">
        <v>142</v>
      </c>
      <c r="C143" s="4" t="s">
        <v>464</v>
      </c>
      <c r="D143" s="5" t="s">
        <v>302</v>
      </c>
      <c r="E143" s="4" t="s">
        <v>302</v>
      </c>
      <c r="F143" s="4" t="s">
        <v>302</v>
      </c>
    </row>
    <row r="144" spans="1:6" x14ac:dyDescent="0.25">
      <c r="A144" s="4" t="s">
        <v>256</v>
      </c>
      <c r="B144">
        <v>143</v>
      </c>
      <c r="C144" s="4" t="s">
        <v>465</v>
      </c>
      <c r="D144" s="5" t="s">
        <v>302</v>
      </c>
      <c r="E144" s="4" t="s">
        <v>302</v>
      </c>
      <c r="F144" s="4" t="s">
        <v>302</v>
      </c>
    </row>
    <row r="145" spans="1:6" x14ac:dyDescent="0.25">
      <c r="A145" s="4" t="s">
        <v>256</v>
      </c>
      <c r="B145">
        <v>144</v>
      </c>
      <c r="C145" s="4" t="s">
        <v>466</v>
      </c>
      <c r="D145" s="5" t="s">
        <v>302</v>
      </c>
      <c r="E145" s="4" t="s">
        <v>302</v>
      </c>
      <c r="F145" s="4" t="s">
        <v>302</v>
      </c>
    </row>
    <row r="146" spans="1:6" x14ac:dyDescent="0.25">
      <c r="A146" s="4" t="s">
        <v>256</v>
      </c>
      <c r="B146">
        <v>145</v>
      </c>
      <c r="C146" s="4" t="s">
        <v>467</v>
      </c>
      <c r="D146" s="5" t="s">
        <v>317</v>
      </c>
      <c r="E146" s="4" t="s">
        <v>468</v>
      </c>
      <c r="F146" s="4" t="s">
        <v>1741</v>
      </c>
    </row>
    <row r="147" spans="1:6" x14ac:dyDescent="0.25">
      <c r="A147" s="4" t="s">
        <v>256</v>
      </c>
      <c r="B147">
        <v>146</v>
      </c>
      <c r="C147" s="4" t="s">
        <v>469</v>
      </c>
      <c r="D147" s="5" t="s">
        <v>302</v>
      </c>
      <c r="E147" s="4" t="s">
        <v>302</v>
      </c>
      <c r="F147" s="4" t="s">
        <v>302</v>
      </c>
    </row>
    <row r="148" spans="1:6" x14ac:dyDescent="0.25">
      <c r="A148" s="4" t="s">
        <v>256</v>
      </c>
      <c r="B148">
        <v>147</v>
      </c>
      <c r="C148" s="4" t="s">
        <v>470</v>
      </c>
      <c r="D148" s="5" t="s">
        <v>302</v>
      </c>
      <c r="E148" s="4" t="s">
        <v>302</v>
      </c>
      <c r="F148" s="4" t="s">
        <v>302</v>
      </c>
    </row>
    <row r="149" spans="1:6" x14ac:dyDescent="0.25">
      <c r="A149" s="4" t="s">
        <v>256</v>
      </c>
      <c r="B149">
        <v>148</v>
      </c>
      <c r="C149" s="4" t="s">
        <v>471</v>
      </c>
      <c r="D149" s="5" t="s">
        <v>2696</v>
      </c>
      <c r="E149" s="4" t="s">
        <v>472</v>
      </c>
      <c r="F149" s="4" t="s">
        <v>1742</v>
      </c>
    </row>
    <row r="150" spans="1:6" x14ac:dyDescent="0.25">
      <c r="A150" s="4" t="s">
        <v>256</v>
      </c>
      <c r="B150">
        <v>149</v>
      </c>
      <c r="C150" s="4" t="s">
        <v>473</v>
      </c>
      <c r="D150" s="5" t="s">
        <v>302</v>
      </c>
      <c r="E150" s="4" t="s">
        <v>302</v>
      </c>
      <c r="F150" s="4" t="s">
        <v>302</v>
      </c>
    </row>
    <row r="151" spans="1:6" x14ac:dyDescent="0.25">
      <c r="A151" s="4" t="s">
        <v>256</v>
      </c>
      <c r="B151">
        <v>150</v>
      </c>
      <c r="C151" s="4" t="s">
        <v>474</v>
      </c>
      <c r="D151" s="5" t="s">
        <v>302</v>
      </c>
      <c r="E151" s="4" t="s">
        <v>302</v>
      </c>
      <c r="F151" s="4" t="s">
        <v>302</v>
      </c>
    </row>
    <row r="152" spans="1:6" x14ac:dyDescent="0.25">
      <c r="A152" s="4" t="s">
        <v>256</v>
      </c>
      <c r="B152">
        <v>151</v>
      </c>
      <c r="C152" s="4" t="s">
        <v>475</v>
      </c>
      <c r="D152" s="5" t="s">
        <v>302</v>
      </c>
      <c r="E152" s="4" t="s">
        <v>302</v>
      </c>
      <c r="F152" s="4" t="s">
        <v>302</v>
      </c>
    </row>
    <row r="153" spans="1:6" x14ac:dyDescent="0.25">
      <c r="A153" s="4" t="s">
        <v>256</v>
      </c>
      <c r="B153">
        <v>152</v>
      </c>
      <c r="C153" s="4" t="s">
        <v>476</v>
      </c>
      <c r="D153" s="5" t="s">
        <v>2697</v>
      </c>
      <c r="E153" s="4" t="s">
        <v>477</v>
      </c>
      <c r="F153" s="4" t="s">
        <v>1743</v>
      </c>
    </row>
    <row r="154" spans="1:6" x14ac:dyDescent="0.25">
      <c r="A154" s="4" t="s">
        <v>256</v>
      </c>
      <c r="B154">
        <v>153</v>
      </c>
      <c r="C154" s="4" t="s">
        <v>478</v>
      </c>
      <c r="D154" s="5" t="s">
        <v>302</v>
      </c>
      <c r="E154" s="4" t="s">
        <v>302</v>
      </c>
      <c r="F154" s="4" t="s">
        <v>302</v>
      </c>
    </row>
    <row r="155" spans="1:6" x14ac:dyDescent="0.25">
      <c r="A155" s="4" t="s">
        <v>256</v>
      </c>
      <c r="B155">
        <v>154</v>
      </c>
      <c r="C155" s="4" t="s">
        <v>479</v>
      </c>
      <c r="D155" s="5" t="s">
        <v>302</v>
      </c>
      <c r="E155" s="4" t="s">
        <v>302</v>
      </c>
      <c r="F155" s="4" t="s">
        <v>302</v>
      </c>
    </row>
    <row r="156" spans="1:6" x14ac:dyDescent="0.25">
      <c r="A156" s="4" t="s">
        <v>256</v>
      </c>
      <c r="B156">
        <v>155</v>
      </c>
      <c r="C156" s="4" t="s">
        <v>480</v>
      </c>
      <c r="D156" s="5" t="s">
        <v>2698</v>
      </c>
      <c r="E156" s="4" t="s">
        <v>481</v>
      </c>
      <c r="F156" s="4" t="s">
        <v>1744</v>
      </c>
    </row>
    <row r="157" spans="1:6" x14ac:dyDescent="0.25">
      <c r="A157" s="4" t="s">
        <v>256</v>
      </c>
      <c r="B157">
        <v>156</v>
      </c>
      <c r="C157" s="4" t="s">
        <v>482</v>
      </c>
      <c r="D157" s="5" t="s">
        <v>302</v>
      </c>
      <c r="E157" s="4" t="s">
        <v>302</v>
      </c>
      <c r="F157" s="4" t="s">
        <v>302</v>
      </c>
    </row>
    <row r="158" spans="1:6" x14ac:dyDescent="0.25">
      <c r="A158" s="4" t="s">
        <v>256</v>
      </c>
      <c r="B158">
        <v>157</v>
      </c>
      <c r="C158" s="4" t="s">
        <v>307</v>
      </c>
      <c r="D158" s="5" t="s">
        <v>2660</v>
      </c>
      <c r="E158" s="4" t="s">
        <v>308</v>
      </c>
      <c r="F158" s="4" t="s">
        <v>1697</v>
      </c>
    </row>
    <row r="159" spans="1:6" x14ac:dyDescent="0.25">
      <c r="A159" s="4" t="s">
        <v>256</v>
      </c>
      <c r="B159">
        <v>158</v>
      </c>
      <c r="C159" s="4" t="s">
        <v>483</v>
      </c>
      <c r="D159" s="5" t="s">
        <v>302</v>
      </c>
      <c r="E159" s="4" t="s">
        <v>302</v>
      </c>
      <c r="F159" s="4" t="s">
        <v>302</v>
      </c>
    </row>
    <row r="160" spans="1:6" x14ac:dyDescent="0.25">
      <c r="A160" s="4" t="s">
        <v>256</v>
      </c>
      <c r="B160">
        <v>159</v>
      </c>
      <c r="C160" s="4" t="s">
        <v>484</v>
      </c>
      <c r="D160" s="5" t="s">
        <v>2609</v>
      </c>
      <c r="E160" s="4" t="s">
        <v>485</v>
      </c>
      <c r="F160" s="4" t="s">
        <v>1745</v>
      </c>
    </row>
    <row r="161" spans="1:6" x14ac:dyDescent="0.25">
      <c r="A161" s="4" t="s">
        <v>256</v>
      </c>
      <c r="B161">
        <v>160</v>
      </c>
      <c r="C161" s="4" t="s">
        <v>486</v>
      </c>
      <c r="D161" s="5" t="s">
        <v>2699</v>
      </c>
      <c r="E161" s="4" t="s">
        <v>487</v>
      </c>
      <c r="F161" s="4" t="s">
        <v>1746</v>
      </c>
    </row>
    <row r="162" spans="1:6" x14ac:dyDescent="0.25">
      <c r="A162" s="4" t="s">
        <v>256</v>
      </c>
      <c r="B162">
        <v>161</v>
      </c>
      <c r="C162" s="4" t="s">
        <v>488</v>
      </c>
      <c r="D162" s="5" t="s">
        <v>302</v>
      </c>
      <c r="E162" s="4" t="s">
        <v>302</v>
      </c>
      <c r="F162" s="4" t="s">
        <v>302</v>
      </c>
    </row>
    <row r="163" spans="1:6" x14ac:dyDescent="0.25">
      <c r="A163" s="4" t="s">
        <v>256</v>
      </c>
      <c r="B163">
        <v>162</v>
      </c>
      <c r="C163" s="4" t="s">
        <v>279</v>
      </c>
      <c r="D163" s="5" t="s">
        <v>2649</v>
      </c>
      <c r="E163" s="4" t="s">
        <v>280</v>
      </c>
      <c r="F163" s="4" t="s">
        <v>1684</v>
      </c>
    </row>
    <row r="164" spans="1:6" x14ac:dyDescent="0.25">
      <c r="A164" s="4" t="s">
        <v>256</v>
      </c>
      <c r="B164">
        <v>163</v>
      </c>
      <c r="C164" s="4" t="s">
        <v>489</v>
      </c>
      <c r="D164" s="5" t="s">
        <v>302</v>
      </c>
      <c r="E164" s="4" t="s">
        <v>302</v>
      </c>
      <c r="F164" s="4" t="s">
        <v>302</v>
      </c>
    </row>
    <row r="165" spans="1:6" x14ac:dyDescent="0.25">
      <c r="A165" s="4" t="s">
        <v>256</v>
      </c>
      <c r="B165">
        <v>164</v>
      </c>
      <c r="C165" s="4" t="s">
        <v>490</v>
      </c>
      <c r="D165" s="5" t="s">
        <v>302</v>
      </c>
      <c r="E165" s="4" t="s">
        <v>302</v>
      </c>
      <c r="F165" s="4" t="s">
        <v>302</v>
      </c>
    </row>
    <row r="166" spans="1:6" x14ac:dyDescent="0.25">
      <c r="A166" s="4" t="s">
        <v>256</v>
      </c>
      <c r="B166">
        <v>165</v>
      </c>
      <c r="C166" s="4" t="s">
        <v>491</v>
      </c>
      <c r="D166" s="5" t="s">
        <v>302</v>
      </c>
      <c r="E166" s="4" t="s">
        <v>302</v>
      </c>
      <c r="F166" s="4" t="s">
        <v>302</v>
      </c>
    </row>
    <row r="167" spans="1:6" x14ac:dyDescent="0.25">
      <c r="A167" s="4" t="s">
        <v>256</v>
      </c>
      <c r="B167">
        <v>166</v>
      </c>
      <c r="C167" s="4" t="s">
        <v>492</v>
      </c>
      <c r="D167" s="5" t="s">
        <v>302</v>
      </c>
      <c r="E167" s="4" t="s">
        <v>302</v>
      </c>
      <c r="F167" s="4" t="s">
        <v>302</v>
      </c>
    </row>
    <row r="168" spans="1:6" x14ac:dyDescent="0.25">
      <c r="A168" s="4" t="s">
        <v>256</v>
      </c>
      <c r="B168">
        <v>167</v>
      </c>
      <c r="C168" s="4" t="s">
        <v>283</v>
      </c>
      <c r="D168" s="5" t="s">
        <v>2651</v>
      </c>
      <c r="E168" s="4" t="s">
        <v>284</v>
      </c>
      <c r="F168" s="4" t="s">
        <v>1686</v>
      </c>
    </row>
    <row r="169" spans="1:6" x14ac:dyDescent="0.25">
      <c r="A169" s="4" t="s">
        <v>256</v>
      </c>
      <c r="B169">
        <v>168</v>
      </c>
      <c r="C169" s="4" t="s">
        <v>493</v>
      </c>
      <c r="D169" s="5" t="s">
        <v>302</v>
      </c>
      <c r="E169" s="4" t="s">
        <v>302</v>
      </c>
      <c r="F169" s="4" t="s">
        <v>302</v>
      </c>
    </row>
    <row r="170" spans="1:6" x14ac:dyDescent="0.25">
      <c r="A170" s="4" t="s">
        <v>256</v>
      </c>
      <c r="B170">
        <v>169</v>
      </c>
      <c r="C170" s="4" t="s">
        <v>494</v>
      </c>
      <c r="D170" s="5" t="s">
        <v>302</v>
      </c>
      <c r="E170" s="4" t="s">
        <v>302</v>
      </c>
      <c r="F170" s="4" t="s">
        <v>302</v>
      </c>
    </row>
    <row r="171" spans="1:6" x14ac:dyDescent="0.25">
      <c r="A171" s="4" t="s">
        <v>256</v>
      </c>
      <c r="B171">
        <v>170</v>
      </c>
      <c r="C171" s="4" t="s">
        <v>495</v>
      </c>
      <c r="D171" s="5" t="s">
        <v>302</v>
      </c>
      <c r="E171" s="4" t="s">
        <v>302</v>
      </c>
      <c r="F171" s="4" t="s">
        <v>302</v>
      </c>
    </row>
    <row r="172" spans="1:6" x14ac:dyDescent="0.25">
      <c r="A172" s="4" t="s">
        <v>256</v>
      </c>
      <c r="B172">
        <v>171</v>
      </c>
      <c r="C172" s="4" t="s">
        <v>496</v>
      </c>
      <c r="D172" s="5" t="s">
        <v>302</v>
      </c>
      <c r="E172" s="4" t="s">
        <v>302</v>
      </c>
      <c r="F172" s="4" t="s">
        <v>302</v>
      </c>
    </row>
    <row r="173" spans="1:6" x14ac:dyDescent="0.25">
      <c r="A173" s="4" t="s">
        <v>256</v>
      </c>
      <c r="B173">
        <v>172</v>
      </c>
      <c r="C173" s="4" t="s">
        <v>497</v>
      </c>
      <c r="D173" s="5" t="s">
        <v>2700</v>
      </c>
      <c r="E173" s="4" t="s">
        <v>498</v>
      </c>
      <c r="F173" s="4" t="s">
        <v>1747</v>
      </c>
    </row>
    <row r="174" spans="1:6" x14ac:dyDescent="0.25">
      <c r="A174" s="4" t="s">
        <v>256</v>
      </c>
      <c r="B174">
        <v>173</v>
      </c>
      <c r="C174" s="4" t="s">
        <v>499</v>
      </c>
      <c r="D174" s="5" t="s">
        <v>302</v>
      </c>
      <c r="E174" s="4" t="s">
        <v>302</v>
      </c>
      <c r="F174" s="4" t="s">
        <v>302</v>
      </c>
    </row>
    <row r="175" spans="1:6" x14ac:dyDescent="0.25">
      <c r="A175" s="4" t="s">
        <v>256</v>
      </c>
      <c r="B175">
        <v>174</v>
      </c>
      <c r="C175" s="4" t="s">
        <v>500</v>
      </c>
      <c r="D175" s="5" t="s">
        <v>302</v>
      </c>
      <c r="E175" s="4" t="s">
        <v>302</v>
      </c>
      <c r="F175" s="4" t="s">
        <v>302</v>
      </c>
    </row>
    <row r="176" spans="1:6" x14ac:dyDescent="0.25">
      <c r="A176" s="4" t="s">
        <v>256</v>
      </c>
      <c r="B176">
        <v>175</v>
      </c>
      <c r="C176" s="4" t="s">
        <v>501</v>
      </c>
      <c r="D176" s="5" t="s">
        <v>302</v>
      </c>
      <c r="E176" s="4" t="s">
        <v>302</v>
      </c>
      <c r="F176" s="4" t="s">
        <v>302</v>
      </c>
    </row>
    <row r="177" spans="1:6" x14ac:dyDescent="0.25">
      <c r="A177" s="4" t="s">
        <v>256</v>
      </c>
      <c r="B177">
        <v>176</v>
      </c>
      <c r="C177" s="4" t="s">
        <v>502</v>
      </c>
      <c r="D177" s="5" t="s">
        <v>302</v>
      </c>
      <c r="E177" s="4" t="s">
        <v>302</v>
      </c>
      <c r="F177" s="4" t="s">
        <v>302</v>
      </c>
    </row>
    <row r="178" spans="1:6" x14ac:dyDescent="0.25">
      <c r="A178" s="4" t="s">
        <v>256</v>
      </c>
      <c r="B178">
        <v>177</v>
      </c>
      <c r="C178" s="4" t="s">
        <v>503</v>
      </c>
      <c r="D178" s="5" t="s">
        <v>302</v>
      </c>
      <c r="E178" s="4" t="s">
        <v>302</v>
      </c>
      <c r="F178" s="4" t="s">
        <v>302</v>
      </c>
    </row>
    <row r="179" spans="1:6" x14ac:dyDescent="0.25">
      <c r="A179" s="4" t="s">
        <v>256</v>
      </c>
      <c r="B179">
        <v>178</v>
      </c>
      <c r="C179" s="4" t="s">
        <v>504</v>
      </c>
      <c r="D179" s="5" t="s">
        <v>2701</v>
      </c>
      <c r="E179" s="4" t="s">
        <v>505</v>
      </c>
      <c r="F179" s="4" t="s">
        <v>1748</v>
      </c>
    </row>
    <row r="180" spans="1:6" x14ac:dyDescent="0.25">
      <c r="A180" s="4" t="s">
        <v>256</v>
      </c>
      <c r="B180">
        <v>179</v>
      </c>
      <c r="C180" s="4" t="s">
        <v>506</v>
      </c>
      <c r="D180" s="5" t="s">
        <v>2702</v>
      </c>
      <c r="E180" s="4" t="s">
        <v>507</v>
      </c>
      <c r="F180" s="4" t="s">
        <v>1749</v>
      </c>
    </row>
    <row r="181" spans="1:6" x14ac:dyDescent="0.25">
      <c r="A181" s="4" t="s">
        <v>256</v>
      </c>
      <c r="B181">
        <v>180</v>
      </c>
      <c r="C181" s="4" t="s">
        <v>508</v>
      </c>
      <c r="D181" s="5" t="s">
        <v>302</v>
      </c>
      <c r="E181" s="4" t="s">
        <v>302</v>
      </c>
      <c r="F181" s="4" t="s">
        <v>302</v>
      </c>
    </row>
    <row r="182" spans="1:6" x14ac:dyDescent="0.25">
      <c r="A182" s="4" t="s">
        <v>256</v>
      </c>
      <c r="B182">
        <v>181</v>
      </c>
      <c r="C182" s="4" t="s">
        <v>510</v>
      </c>
      <c r="D182" s="5" t="s">
        <v>2563</v>
      </c>
      <c r="E182" s="4" t="s">
        <v>511</v>
      </c>
      <c r="F182" s="4" t="s">
        <v>1750</v>
      </c>
    </row>
    <row r="183" spans="1:6" x14ac:dyDescent="0.25">
      <c r="A183" s="4" t="s">
        <v>256</v>
      </c>
      <c r="B183">
        <v>182</v>
      </c>
      <c r="C183" s="4" t="s">
        <v>512</v>
      </c>
      <c r="D183" s="5" t="s">
        <v>302</v>
      </c>
      <c r="E183" s="4" t="s">
        <v>302</v>
      </c>
      <c r="F183" s="4" t="s">
        <v>302</v>
      </c>
    </row>
    <row r="184" spans="1:6" x14ac:dyDescent="0.25">
      <c r="A184" s="4" t="s">
        <v>256</v>
      </c>
      <c r="B184">
        <v>183</v>
      </c>
      <c r="C184" s="4" t="s">
        <v>513</v>
      </c>
      <c r="D184" s="5" t="s">
        <v>302</v>
      </c>
      <c r="E184" s="4" t="s">
        <v>302</v>
      </c>
      <c r="F184" s="4" t="s">
        <v>302</v>
      </c>
    </row>
    <row r="185" spans="1:6" x14ac:dyDescent="0.25">
      <c r="A185" s="4" t="s">
        <v>256</v>
      </c>
      <c r="B185">
        <v>184</v>
      </c>
      <c r="C185" s="4" t="s">
        <v>514</v>
      </c>
      <c r="D185" s="5" t="s">
        <v>302</v>
      </c>
      <c r="E185" s="4" t="s">
        <v>302</v>
      </c>
      <c r="F185" s="4" t="s">
        <v>302</v>
      </c>
    </row>
    <row r="186" spans="1:6" x14ac:dyDescent="0.25">
      <c r="A186" s="4" t="s">
        <v>256</v>
      </c>
      <c r="B186">
        <v>185</v>
      </c>
      <c r="C186" s="4" t="s">
        <v>515</v>
      </c>
      <c r="D186" s="5" t="s">
        <v>2703</v>
      </c>
      <c r="E186" s="4" t="s">
        <v>516</v>
      </c>
      <c r="F186" s="4" t="s">
        <v>1751</v>
      </c>
    </row>
    <row r="187" spans="1:6" x14ac:dyDescent="0.25">
      <c r="A187" s="4" t="s">
        <v>256</v>
      </c>
      <c r="B187">
        <v>186</v>
      </c>
      <c r="C187" s="4" t="s">
        <v>517</v>
      </c>
      <c r="D187" s="5" t="s">
        <v>518</v>
      </c>
      <c r="E187" s="4" t="s">
        <v>519</v>
      </c>
      <c r="F187" s="4" t="s">
        <v>1752</v>
      </c>
    </row>
    <row r="188" spans="1:6" x14ac:dyDescent="0.25">
      <c r="A188" s="4" t="s">
        <v>256</v>
      </c>
      <c r="B188">
        <v>187</v>
      </c>
      <c r="C188" s="4" t="s">
        <v>520</v>
      </c>
      <c r="D188" s="5" t="s">
        <v>302</v>
      </c>
      <c r="E188" s="4" t="s">
        <v>302</v>
      </c>
      <c r="F188" s="4" t="s">
        <v>302</v>
      </c>
    </row>
    <row r="189" spans="1:6" x14ac:dyDescent="0.25">
      <c r="A189" s="4" t="s">
        <v>256</v>
      </c>
      <c r="B189">
        <v>188</v>
      </c>
      <c r="C189" s="4" t="s">
        <v>521</v>
      </c>
      <c r="D189" s="5" t="s">
        <v>302</v>
      </c>
      <c r="E189" s="4" t="s">
        <v>302</v>
      </c>
      <c r="F189" s="4" t="s">
        <v>302</v>
      </c>
    </row>
    <row r="190" spans="1:6" x14ac:dyDescent="0.25">
      <c r="A190" s="4" t="s">
        <v>256</v>
      </c>
      <c r="B190">
        <v>189</v>
      </c>
      <c r="C190" s="4" t="s">
        <v>522</v>
      </c>
      <c r="D190" s="5" t="s">
        <v>302</v>
      </c>
      <c r="E190" s="4" t="s">
        <v>302</v>
      </c>
      <c r="F190" s="4" t="s">
        <v>302</v>
      </c>
    </row>
    <row r="191" spans="1:6" x14ac:dyDescent="0.25">
      <c r="A191" s="4" t="s">
        <v>256</v>
      </c>
      <c r="B191">
        <v>190</v>
      </c>
      <c r="C191" s="4" t="s">
        <v>523</v>
      </c>
      <c r="D191" s="5" t="s">
        <v>2704</v>
      </c>
      <c r="E191" s="4" t="s">
        <v>524</v>
      </c>
      <c r="F191" s="4" t="s">
        <v>1753</v>
      </c>
    </row>
    <row r="192" spans="1:6" x14ac:dyDescent="0.25">
      <c r="A192" s="4" t="s">
        <v>256</v>
      </c>
      <c r="B192">
        <v>191</v>
      </c>
      <c r="C192" s="4" t="s">
        <v>525</v>
      </c>
      <c r="D192" s="5" t="s">
        <v>302</v>
      </c>
      <c r="E192" s="4" t="s">
        <v>302</v>
      </c>
      <c r="F192" s="4" t="s">
        <v>302</v>
      </c>
    </row>
    <row r="193" spans="1:6" x14ac:dyDescent="0.25">
      <c r="A193" s="4" t="s">
        <v>256</v>
      </c>
      <c r="B193">
        <v>192</v>
      </c>
      <c r="C193" s="4" t="s">
        <v>526</v>
      </c>
      <c r="D193" s="5" t="s">
        <v>555</v>
      </c>
      <c r="E193" s="4" t="s">
        <v>527</v>
      </c>
      <c r="F193" s="4" t="s">
        <v>1754</v>
      </c>
    </row>
    <row r="194" spans="1:6" x14ac:dyDescent="0.25">
      <c r="A194" s="4" t="s">
        <v>256</v>
      </c>
      <c r="B194">
        <v>193</v>
      </c>
      <c r="C194" s="4" t="s">
        <v>528</v>
      </c>
      <c r="D194" s="5" t="s">
        <v>2705</v>
      </c>
      <c r="E194" s="4" t="s">
        <v>529</v>
      </c>
      <c r="F194" s="4" t="s">
        <v>1755</v>
      </c>
    </row>
    <row r="195" spans="1:6" x14ac:dyDescent="0.25">
      <c r="A195" s="4" t="s">
        <v>256</v>
      </c>
      <c r="B195">
        <v>194</v>
      </c>
      <c r="C195" s="4" t="s">
        <v>530</v>
      </c>
      <c r="D195" s="5" t="s">
        <v>2706</v>
      </c>
      <c r="E195" s="4" t="s">
        <v>531</v>
      </c>
      <c r="F195" s="4" t="s">
        <v>1756</v>
      </c>
    </row>
    <row r="196" spans="1:6" x14ac:dyDescent="0.25">
      <c r="A196" s="4" t="s">
        <v>256</v>
      </c>
      <c r="B196">
        <v>195</v>
      </c>
      <c r="C196" s="4" t="s">
        <v>532</v>
      </c>
      <c r="D196" s="5" t="s">
        <v>2583</v>
      </c>
      <c r="E196" s="4" t="s">
        <v>533</v>
      </c>
      <c r="F196" s="4" t="s">
        <v>1757</v>
      </c>
    </row>
    <row r="197" spans="1:6" x14ac:dyDescent="0.25">
      <c r="A197" s="4" t="s">
        <v>256</v>
      </c>
      <c r="B197">
        <v>196</v>
      </c>
      <c r="C197" s="4" t="s">
        <v>534</v>
      </c>
      <c r="D197" s="5" t="s">
        <v>2707</v>
      </c>
      <c r="E197" s="4" t="s">
        <v>535</v>
      </c>
      <c r="F197" s="4" t="s">
        <v>1758</v>
      </c>
    </row>
    <row r="198" spans="1:6" x14ac:dyDescent="0.25">
      <c r="A198" s="4" t="s">
        <v>256</v>
      </c>
      <c r="B198">
        <v>197</v>
      </c>
      <c r="C198" s="4" t="s">
        <v>536</v>
      </c>
      <c r="D198" s="5" t="s">
        <v>2559</v>
      </c>
      <c r="E198" s="4" t="s">
        <v>537</v>
      </c>
      <c r="F198" s="4" t="s">
        <v>1759</v>
      </c>
    </row>
    <row r="199" spans="1:6" x14ac:dyDescent="0.25">
      <c r="A199" s="4" t="s">
        <v>256</v>
      </c>
      <c r="B199">
        <v>198</v>
      </c>
      <c r="C199" s="4" t="s">
        <v>538</v>
      </c>
      <c r="D199" s="5" t="s">
        <v>2708</v>
      </c>
      <c r="E199" s="4" t="s">
        <v>539</v>
      </c>
      <c r="F199" s="4" t="s">
        <v>1760</v>
      </c>
    </row>
    <row r="200" spans="1:6" x14ac:dyDescent="0.25">
      <c r="A200" s="4" t="s">
        <v>256</v>
      </c>
      <c r="B200">
        <v>199</v>
      </c>
      <c r="C200" s="4" t="s">
        <v>540</v>
      </c>
      <c r="D200" s="5" t="s">
        <v>302</v>
      </c>
      <c r="E200" s="4" t="s">
        <v>302</v>
      </c>
      <c r="F200" s="4" t="s">
        <v>302</v>
      </c>
    </row>
    <row r="201" spans="1:6" x14ac:dyDescent="0.25">
      <c r="A201" s="4" t="s">
        <v>256</v>
      </c>
      <c r="B201">
        <v>200</v>
      </c>
      <c r="C201" s="4" t="s">
        <v>541</v>
      </c>
      <c r="D201" s="5" t="s">
        <v>302</v>
      </c>
      <c r="E201" s="4" t="s">
        <v>302</v>
      </c>
      <c r="F201" s="4" t="s">
        <v>302</v>
      </c>
    </row>
    <row r="202" spans="1:6" x14ac:dyDescent="0.25">
      <c r="A202" s="4" t="s">
        <v>256</v>
      </c>
      <c r="B202">
        <v>201</v>
      </c>
      <c r="C202" s="4" t="s">
        <v>542</v>
      </c>
      <c r="D202" s="5" t="s">
        <v>2709</v>
      </c>
      <c r="E202" s="4" t="s">
        <v>543</v>
      </c>
      <c r="F202" s="4" t="s">
        <v>1761</v>
      </c>
    </row>
    <row r="203" spans="1:6" x14ac:dyDescent="0.25">
      <c r="A203" s="4" t="s">
        <v>256</v>
      </c>
      <c r="B203">
        <v>202</v>
      </c>
      <c r="C203" s="4" t="s">
        <v>544</v>
      </c>
      <c r="D203" s="5" t="s">
        <v>302</v>
      </c>
      <c r="E203" s="4" t="s">
        <v>302</v>
      </c>
      <c r="F203" s="4" t="s">
        <v>302</v>
      </c>
    </row>
    <row r="204" spans="1:6" x14ac:dyDescent="0.25">
      <c r="A204" s="4" t="s">
        <v>256</v>
      </c>
      <c r="B204">
        <v>203</v>
      </c>
      <c r="C204" s="4" t="s">
        <v>545</v>
      </c>
      <c r="D204" s="5" t="s">
        <v>2710</v>
      </c>
      <c r="E204" s="4" t="s">
        <v>546</v>
      </c>
      <c r="F204" s="4" t="s">
        <v>1762</v>
      </c>
    </row>
    <row r="205" spans="1:6" x14ac:dyDescent="0.25">
      <c r="A205" s="4" t="s">
        <v>256</v>
      </c>
      <c r="B205">
        <v>204</v>
      </c>
      <c r="C205" s="4" t="s">
        <v>295</v>
      </c>
      <c r="D205" s="5" t="s">
        <v>2656</v>
      </c>
      <c r="E205" s="4" t="s">
        <v>296</v>
      </c>
      <c r="F205" s="4" t="s">
        <v>1692</v>
      </c>
    </row>
    <row r="206" spans="1:6" x14ac:dyDescent="0.25">
      <c r="A206" s="4" t="s">
        <v>256</v>
      </c>
      <c r="B206">
        <v>205</v>
      </c>
      <c r="C206" s="4" t="s">
        <v>547</v>
      </c>
      <c r="D206" s="5" t="s">
        <v>2711</v>
      </c>
      <c r="E206" s="4" t="s">
        <v>548</v>
      </c>
      <c r="F206" s="4" t="s">
        <v>1763</v>
      </c>
    </row>
    <row r="207" spans="1:6" x14ac:dyDescent="0.25">
      <c r="A207" s="4" t="s">
        <v>256</v>
      </c>
      <c r="B207">
        <v>206</v>
      </c>
      <c r="C207" s="4" t="s">
        <v>549</v>
      </c>
      <c r="D207" s="5" t="s">
        <v>302</v>
      </c>
      <c r="E207" s="4" t="s">
        <v>302</v>
      </c>
      <c r="F207" s="4" t="s">
        <v>302</v>
      </c>
    </row>
    <row r="208" spans="1:6" x14ac:dyDescent="0.25">
      <c r="A208" s="4" t="s">
        <v>256</v>
      </c>
      <c r="B208">
        <v>207</v>
      </c>
      <c r="C208" s="4" t="s">
        <v>550</v>
      </c>
      <c r="D208" s="5" t="s">
        <v>302</v>
      </c>
      <c r="E208" s="4" t="s">
        <v>302</v>
      </c>
      <c r="F208" s="4" t="s">
        <v>302</v>
      </c>
    </row>
    <row r="209" spans="1:6" x14ac:dyDescent="0.25">
      <c r="A209" s="4" t="s">
        <v>256</v>
      </c>
      <c r="B209">
        <v>208</v>
      </c>
      <c r="C209" s="4" t="s">
        <v>551</v>
      </c>
      <c r="D209" s="5" t="s">
        <v>302</v>
      </c>
      <c r="E209" s="4" t="s">
        <v>302</v>
      </c>
      <c r="F209" s="4" t="s">
        <v>302</v>
      </c>
    </row>
    <row r="210" spans="1:6" x14ac:dyDescent="0.25">
      <c r="A210" s="4" t="s">
        <v>256</v>
      </c>
      <c r="B210">
        <v>209</v>
      </c>
      <c r="C210" s="4" t="s">
        <v>552</v>
      </c>
      <c r="D210" s="5" t="s">
        <v>302</v>
      </c>
      <c r="E210" s="4" t="s">
        <v>302</v>
      </c>
      <c r="F210" s="4" t="s">
        <v>302</v>
      </c>
    </row>
    <row r="211" spans="1:6" x14ac:dyDescent="0.25">
      <c r="A211" s="4" t="s">
        <v>256</v>
      </c>
      <c r="B211">
        <v>210</v>
      </c>
      <c r="C211" s="4" t="s">
        <v>553</v>
      </c>
      <c r="D211" s="5" t="s">
        <v>302</v>
      </c>
      <c r="E211" s="4" t="s">
        <v>302</v>
      </c>
      <c r="F211" s="4" t="s">
        <v>302</v>
      </c>
    </row>
    <row r="212" spans="1:6" x14ac:dyDescent="0.25">
      <c r="A212" s="4" t="s">
        <v>256</v>
      </c>
      <c r="B212">
        <v>211</v>
      </c>
      <c r="C212" s="4" t="s">
        <v>554</v>
      </c>
      <c r="D212" s="5" t="s">
        <v>555</v>
      </c>
      <c r="E212" s="4" t="s">
        <v>556</v>
      </c>
      <c r="F212" s="4" t="s">
        <v>1764</v>
      </c>
    </row>
    <row r="213" spans="1:6" x14ac:dyDescent="0.25">
      <c r="A213" s="4" t="s">
        <v>256</v>
      </c>
      <c r="B213">
        <v>212</v>
      </c>
      <c r="C213" s="4" t="s">
        <v>557</v>
      </c>
      <c r="D213" s="5" t="s">
        <v>2712</v>
      </c>
      <c r="E213" s="4" t="s">
        <v>558</v>
      </c>
      <c r="F213" s="4" t="s">
        <v>1765</v>
      </c>
    </row>
    <row r="214" spans="1:6" x14ac:dyDescent="0.25">
      <c r="A214" s="4" t="s">
        <v>256</v>
      </c>
      <c r="B214">
        <v>213</v>
      </c>
      <c r="C214" s="4" t="s">
        <v>559</v>
      </c>
      <c r="D214" s="5" t="s">
        <v>2579</v>
      </c>
      <c r="E214" s="4" t="s">
        <v>560</v>
      </c>
      <c r="F214" s="4" t="s">
        <v>1766</v>
      </c>
    </row>
    <row r="215" spans="1:6" x14ac:dyDescent="0.25">
      <c r="A215" s="4" t="s">
        <v>256</v>
      </c>
      <c r="B215">
        <v>214</v>
      </c>
      <c r="C215" s="4" t="s">
        <v>561</v>
      </c>
      <c r="D215" s="5" t="s">
        <v>302</v>
      </c>
      <c r="E215" s="4" t="s">
        <v>302</v>
      </c>
      <c r="F215" s="4" t="s">
        <v>302</v>
      </c>
    </row>
    <row r="216" spans="1:6" x14ac:dyDescent="0.25">
      <c r="A216" s="4" t="s">
        <v>256</v>
      </c>
      <c r="B216">
        <v>215</v>
      </c>
      <c r="C216" s="4" t="s">
        <v>562</v>
      </c>
      <c r="D216" s="5" t="s">
        <v>2713</v>
      </c>
      <c r="E216" s="4" t="s">
        <v>563</v>
      </c>
      <c r="F216" s="4" t="s">
        <v>1767</v>
      </c>
    </row>
    <row r="217" spans="1:6" x14ac:dyDescent="0.25">
      <c r="A217" s="4" t="s">
        <v>256</v>
      </c>
      <c r="B217">
        <v>216</v>
      </c>
      <c r="C217" s="4" t="s">
        <v>564</v>
      </c>
      <c r="D217" s="5" t="s">
        <v>2651</v>
      </c>
      <c r="E217" s="4" t="s">
        <v>565</v>
      </c>
      <c r="F217" s="4" t="s">
        <v>1768</v>
      </c>
    </row>
    <row r="218" spans="1:6" x14ac:dyDescent="0.25">
      <c r="A218" s="4" t="s">
        <v>256</v>
      </c>
      <c r="B218">
        <v>217</v>
      </c>
      <c r="C218" s="4" t="s">
        <v>566</v>
      </c>
      <c r="D218" s="5" t="s">
        <v>302</v>
      </c>
      <c r="E218" s="4" t="s">
        <v>302</v>
      </c>
      <c r="F218" s="4" t="s">
        <v>302</v>
      </c>
    </row>
    <row r="219" spans="1:6" x14ac:dyDescent="0.25">
      <c r="A219" s="4" t="s">
        <v>256</v>
      </c>
      <c r="B219">
        <v>218</v>
      </c>
      <c r="C219" s="4" t="s">
        <v>567</v>
      </c>
      <c r="D219" s="5" t="s">
        <v>2714</v>
      </c>
      <c r="E219" s="4" t="s">
        <v>568</v>
      </c>
      <c r="F219" s="4" t="s">
        <v>1769</v>
      </c>
    </row>
    <row r="220" spans="1:6" x14ac:dyDescent="0.25">
      <c r="A220" s="4" t="s">
        <v>256</v>
      </c>
      <c r="B220">
        <v>219</v>
      </c>
      <c r="C220" s="4" t="s">
        <v>569</v>
      </c>
      <c r="D220" s="5" t="s">
        <v>302</v>
      </c>
      <c r="E220" s="4" t="s">
        <v>302</v>
      </c>
      <c r="F220" s="4" t="s">
        <v>302</v>
      </c>
    </row>
    <row r="221" spans="1:6" x14ac:dyDescent="0.25">
      <c r="A221" s="4" t="s">
        <v>256</v>
      </c>
      <c r="B221">
        <v>220</v>
      </c>
      <c r="C221" s="4" t="s">
        <v>570</v>
      </c>
      <c r="D221" s="5" t="s">
        <v>2715</v>
      </c>
      <c r="E221" s="4" t="s">
        <v>571</v>
      </c>
      <c r="F221" s="4" t="s">
        <v>1770</v>
      </c>
    </row>
    <row r="222" spans="1:6" x14ac:dyDescent="0.25">
      <c r="A222" s="4" t="s">
        <v>256</v>
      </c>
      <c r="B222">
        <v>221</v>
      </c>
      <c r="C222" s="4" t="s">
        <v>572</v>
      </c>
      <c r="D222" s="5" t="s">
        <v>302</v>
      </c>
      <c r="E222" s="4" t="s">
        <v>302</v>
      </c>
      <c r="F222" s="4" t="s">
        <v>302</v>
      </c>
    </row>
    <row r="223" spans="1:6" x14ac:dyDescent="0.25">
      <c r="A223" s="4" t="s">
        <v>256</v>
      </c>
      <c r="B223">
        <v>222</v>
      </c>
      <c r="C223" s="4" t="s">
        <v>573</v>
      </c>
      <c r="D223" s="5" t="s">
        <v>302</v>
      </c>
      <c r="E223" s="4" t="s">
        <v>302</v>
      </c>
      <c r="F223" s="4" t="s">
        <v>302</v>
      </c>
    </row>
    <row r="224" spans="1:6" x14ac:dyDescent="0.25">
      <c r="A224" s="4" t="s">
        <v>256</v>
      </c>
      <c r="B224">
        <v>223</v>
      </c>
      <c r="C224" s="4" t="s">
        <v>574</v>
      </c>
      <c r="D224" s="5" t="s">
        <v>2560</v>
      </c>
      <c r="E224" s="4" t="s">
        <v>575</v>
      </c>
      <c r="F224" s="4" t="s">
        <v>1771</v>
      </c>
    </row>
    <row r="225" spans="1:6" x14ac:dyDescent="0.25">
      <c r="A225" s="4" t="s">
        <v>256</v>
      </c>
      <c r="B225">
        <v>224</v>
      </c>
      <c r="C225" s="4" t="s">
        <v>576</v>
      </c>
      <c r="D225" s="5" t="s">
        <v>2716</v>
      </c>
      <c r="E225" s="4" t="s">
        <v>577</v>
      </c>
      <c r="F225" s="4" t="s">
        <v>1772</v>
      </c>
    </row>
    <row r="226" spans="1:6" x14ac:dyDescent="0.25">
      <c r="A226" s="4" t="s">
        <v>256</v>
      </c>
      <c r="B226">
        <v>225</v>
      </c>
      <c r="C226" s="4" t="s">
        <v>578</v>
      </c>
      <c r="D226" s="5" t="s">
        <v>302</v>
      </c>
      <c r="E226" s="4" t="s">
        <v>302</v>
      </c>
      <c r="F226" s="4" t="s">
        <v>302</v>
      </c>
    </row>
    <row r="227" spans="1:6" x14ac:dyDescent="0.25">
      <c r="A227" s="4" t="s">
        <v>256</v>
      </c>
      <c r="B227">
        <v>226</v>
      </c>
      <c r="C227" s="4" t="s">
        <v>579</v>
      </c>
      <c r="D227" s="5" t="s">
        <v>317</v>
      </c>
      <c r="E227" s="4" t="s">
        <v>580</v>
      </c>
      <c r="F227" s="4" t="s">
        <v>1773</v>
      </c>
    </row>
    <row r="228" spans="1:6" x14ac:dyDescent="0.25">
      <c r="A228" s="4" t="s">
        <v>256</v>
      </c>
      <c r="B228">
        <v>227</v>
      </c>
      <c r="C228" s="4" t="s">
        <v>581</v>
      </c>
      <c r="D228" s="5" t="s">
        <v>2717</v>
      </c>
      <c r="E228" s="4" t="s">
        <v>582</v>
      </c>
      <c r="F228" s="4" t="s">
        <v>1774</v>
      </c>
    </row>
    <row r="229" spans="1:6" x14ac:dyDescent="0.25">
      <c r="A229" s="4" t="s">
        <v>256</v>
      </c>
      <c r="B229">
        <v>228</v>
      </c>
      <c r="C229" s="4" t="s">
        <v>583</v>
      </c>
      <c r="D229" s="5" t="s">
        <v>302</v>
      </c>
      <c r="E229" s="4" t="s">
        <v>302</v>
      </c>
      <c r="F229" s="4" t="s">
        <v>302</v>
      </c>
    </row>
    <row r="230" spans="1:6" x14ac:dyDescent="0.25">
      <c r="A230" s="4" t="s">
        <v>256</v>
      </c>
      <c r="B230">
        <v>229</v>
      </c>
      <c r="C230" s="4" t="s">
        <v>584</v>
      </c>
      <c r="D230" s="5" t="s">
        <v>2718</v>
      </c>
      <c r="E230" s="4" t="s">
        <v>585</v>
      </c>
      <c r="F230" s="4" t="s">
        <v>1775</v>
      </c>
    </row>
    <row r="231" spans="1:6" x14ac:dyDescent="0.25">
      <c r="A231" s="4" t="s">
        <v>256</v>
      </c>
      <c r="B231">
        <v>230</v>
      </c>
      <c r="C231" s="4" t="s">
        <v>586</v>
      </c>
      <c r="D231" s="5" t="s">
        <v>2719</v>
      </c>
      <c r="E231" s="4" t="s">
        <v>587</v>
      </c>
      <c r="F231" s="4" t="s">
        <v>1776</v>
      </c>
    </row>
    <row r="232" spans="1:6" x14ac:dyDescent="0.25">
      <c r="A232" s="4" t="s">
        <v>256</v>
      </c>
      <c r="B232">
        <v>231</v>
      </c>
      <c r="C232" s="4" t="s">
        <v>588</v>
      </c>
      <c r="D232" s="5" t="s">
        <v>2618</v>
      </c>
      <c r="E232" s="4" t="s">
        <v>589</v>
      </c>
      <c r="F232" s="4" t="s">
        <v>1777</v>
      </c>
    </row>
    <row r="233" spans="1:6" x14ac:dyDescent="0.25">
      <c r="A233" s="4" t="s">
        <v>256</v>
      </c>
      <c r="B233">
        <v>232</v>
      </c>
      <c r="C233" s="4" t="s">
        <v>590</v>
      </c>
      <c r="D233" s="5" t="s">
        <v>2720</v>
      </c>
      <c r="E233" s="4" t="s">
        <v>2291</v>
      </c>
      <c r="F233" s="4" t="s">
        <v>2292</v>
      </c>
    </row>
    <row r="234" spans="1:6" x14ac:dyDescent="0.25">
      <c r="A234" s="4" t="s">
        <v>256</v>
      </c>
      <c r="B234">
        <v>233</v>
      </c>
      <c r="C234" s="4" t="s">
        <v>591</v>
      </c>
      <c r="D234" s="5" t="s">
        <v>2721</v>
      </c>
      <c r="E234" s="4" t="s">
        <v>592</v>
      </c>
      <c r="F234" s="4" t="s">
        <v>1778</v>
      </c>
    </row>
    <row r="235" spans="1:6" x14ac:dyDescent="0.25">
      <c r="A235" s="4" t="s">
        <v>256</v>
      </c>
      <c r="B235">
        <v>234</v>
      </c>
      <c r="C235" s="4" t="s">
        <v>593</v>
      </c>
      <c r="D235" s="5" t="s">
        <v>302</v>
      </c>
      <c r="E235" s="4" t="s">
        <v>302</v>
      </c>
      <c r="F235" s="4" t="s">
        <v>302</v>
      </c>
    </row>
    <row r="236" spans="1:6" x14ac:dyDescent="0.25">
      <c r="A236" s="4" t="s">
        <v>256</v>
      </c>
      <c r="B236">
        <v>235</v>
      </c>
      <c r="C236" s="4" t="s">
        <v>594</v>
      </c>
      <c r="D236" s="5" t="s">
        <v>595</v>
      </c>
      <c r="E236" s="4" t="s">
        <v>596</v>
      </c>
      <c r="F236" s="4" t="s">
        <v>1779</v>
      </c>
    </row>
    <row r="237" spans="1:6" x14ac:dyDescent="0.25">
      <c r="A237" s="4" t="s">
        <v>256</v>
      </c>
      <c r="B237">
        <v>236</v>
      </c>
      <c r="C237" s="4" t="s">
        <v>597</v>
      </c>
      <c r="D237" s="5" t="s">
        <v>2722</v>
      </c>
      <c r="E237" s="4" t="s">
        <v>2293</v>
      </c>
      <c r="F237" s="4" t="s">
        <v>2294</v>
      </c>
    </row>
    <row r="238" spans="1:6" x14ac:dyDescent="0.25">
      <c r="A238" s="4" t="s">
        <v>256</v>
      </c>
      <c r="B238">
        <v>237</v>
      </c>
      <c r="C238" s="4" t="s">
        <v>598</v>
      </c>
      <c r="D238" s="5" t="s">
        <v>2723</v>
      </c>
      <c r="E238" s="4" t="s">
        <v>599</v>
      </c>
      <c r="F238" s="4" t="s">
        <v>1780</v>
      </c>
    </row>
    <row r="239" spans="1:6" x14ac:dyDescent="0.25">
      <c r="A239" s="4" t="s">
        <v>256</v>
      </c>
      <c r="B239">
        <v>238</v>
      </c>
      <c r="C239" s="4" t="s">
        <v>600</v>
      </c>
      <c r="D239" s="5" t="s">
        <v>2724</v>
      </c>
      <c r="E239" s="4" t="s">
        <v>601</v>
      </c>
      <c r="F239" s="4" t="s">
        <v>1781</v>
      </c>
    </row>
    <row r="240" spans="1:6" x14ac:dyDescent="0.25">
      <c r="A240" s="4" t="s">
        <v>256</v>
      </c>
      <c r="B240">
        <v>239</v>
      </c>
      <c r="C240" s="4" t="s">
        <v>602</v>
      </c>
      <c r="D240" s="5" t="s">
        <v>2725</v>
      </c>
      <c r="E240" s="4" t="s">
        <v>2295</v>
      </c>
      <c r="F240" s="4" t="s">
        <v>2296</v>
      </c>
    </row>
    <row r="241" spans="1:6" x14ac:dyDescent="0.25">
      <c r="A241" s="4" t="s">
        <v>256</v>
      </c>
      <c r="B241">
        <v>240</v>
      </c>
      <c r="C241" s="4" t="s">
        <v>603</v>
      </c>
      <c r="D241" s="5" t="s">
        <v>302</v>
      </c>
      <c r="E241" s="4" t="s">
        <v>302</v>
      </c>
      <c r="F241" s="4" t="s">
        <v>302</v>
      </c>
    </row>
    <row r="242" spans="1:6" x14ac:dyDescent="0.25">
      <c r="A242" s="4" t="s">
        <v>256</v>
      </c>
      <c r="B242">
        <v>241</v>
      </c>
      <c r="C242" s="4" t="s">
        <v>604</v>
      </c>
      <c r="D242" s="5" t="s">
        <v>302</v>
      </c>
      <c r="E242" s="4" t="s">
        <v>302</v>
      </c>
      <c r="F242" s="4" t="s">
        <v>302</v>
      </c>
    </row>
    <row r="243" spans="1:6" x14ac:dyDescent="0.25">
      <c r="A243" s="4" t="s">
        <v>256</v>
      </c>
      <c r="B243">
        <v>242</v>
      </c>
      <c r="C243" s="4" t="s">
        <v>605</v>
      </c>
      <c r="D243" s="5" t="s">
        <v>302</v>
      </c>
      <c r="E243" s="4" t="s">
        <v>302</v>
      </c>
      <c r="F243" s="4" t="s">
        <v>302</v>
      </c>
    </row>
    <row r="244" spans="1:6" x14ac:dyDescent="0.25">
      <c r="A244" s="4" t="s">
        <v>256</v>
      </c>
      <c r="B244">
        <v>243</v>
      </c>
      <c r="C244" s="4" t="s">
        <v>606</v>
      </c>
      <c r="D244" s="5" t="s">
        <v>302</v>
      </c>
      <c r="E244" s="4" t="s">
        <v>302</v>
      </c>
      <c r="F244" s="4" t="s">
        <v>302</v>
      </c>
    </row>
    <row r="245" spans="1:6" x14ac:dyDescent="0.25">
      <c r="A245" s="4" t="s">
        <v>256</v>
      </c>
      <c r="B245">
        <v>244</v>
      </c>
      <c r="C245" s="4" t="s">
        <v>607</v>
      </c>
      <c r="D245" s="5" t="s">
        <v>302</v>
      </c>
      <c r="E245" s="4" t="s">
        <v>302</v>
      </c>
      <c r="F245" s="4" t="s">
        <v>302</v>
      </c>
    </row>
    <row r="246" spans="1:6" x14ac:dyDescent="0.25">
      <c r="A246" s="4" t="s">
        <v>256</v>
      </c>
      <c r="B246">
        <v>245</v>
      </c>
      <c r="C246" s="4" t="s">
        <v>608</v>
      </c>
      <c r="D246" s="5" t="s">
        <v>302</v>
      </c>
      <c r="E246" s="4" t="s">
        <v>302</v>
      </c>
      <c r="F246" s="4" t="s">
        <v>302</v>
      </c>
    </row>
    <row r="247" spans="1:6" x14ac:dyDescent="0.25">
      <c r="A247" s="4" t="s">
        <v>256</v>
      </c>
      <c r="B247">
        <v>246</v>
      </c>
      <c r="C247" s="4" t="s">
        <v>609</v>
      </c>
      <c r="D247" s="5" t="s">
        <v>302</v>
      </c>
      <c r="E247" s="4" t="s">
        <v>302</v>
      </c>
      <c r="F247" s="4" t="s">
        <v>302</v>
      </c>
    </row>
    <row r="248" spans="1:6" x14ac:dyDescent="0.25">
      <c r="A248" s="4" t="s">
        <v>256</v>
      </c>
      <c r="B248">
        <v>247</v>
      </c>
      <c r="C248" s="4" t="s">
        <v>610</v>
      </c>
      <c r="D248" s="5" t="s">
        <v>2726</v>
      </c>
      <c r="E248" s="4" t="s">
        <v>2298</v>
      </c>
      <c r="F248" s="4" t="s">
        <v>2299</v>
      </c>
    </row>
    <row r="249" spans="1:6" x14ac:dyDescent="0.25">
      <c r="A249" s="4" t="s">
        <v>256</v>
      </c>
      <c r="B249">
        <v>248</v>
      </c>
      <c r="C249" s="4" t="s">
        <v>611</v>
      </c>
      <c r="D249" s="5" t="s">
        <v>302</v>
      </c>
      <c r="E249" s="4" t="s">
        <v>302</v>
      </c>
      <c r="F249" s="4" t="s">
        <v>302</v>
      </c>
    </row>
    <row r="250" spans="1:6" x14ac:dyDescent="0.25">
      <c r="A250" s="4" t="s">
        <v>256</v>
      </c>
      <c r="B250">
        <v>249</v>
      </c>
      <c r="C250" s="4" t="s">
        <v>612</v>
      </c>
      <c r="D250" s="5" t="s">
        <v>302</v>
      </c>
      <c r="E250" s="4" t="s">
        <v>302</v>
      </c>
      <c r="F250" s="4" t="s">
        <v>302</v>
      </c>
    </row>
    <row r="251" spans="1:6" x14ac:dyDescent="0.25">
      <c r="A251" s="4" t="s">
        <v>256</v>
      </c>
      <c r="B251">
        <v>250</v>
      </c>
      <c r="C251" s="4" t="s">
        <v>613</v>
      </c>
      <c r="D251" s="5" t="s">
        <v>302</v>
      </c>
      <c r="E251" s="4" t="s">
        <v>302</v>
      </c>
      <c r="F251" s="4" t="s">
        <v>302</v>
      </c>
    </row>
    <row r="252" spans="1:6" x14ac:dyDescent="0.25">
      <c r="A252" s="4" t="s">
        <v>256</v>
      </c>
      <c r="B252">
        <v>251</v>
      </c>
      <c r="C252" s="4" t="s">
        <v>614</v>
      </c>
      <c r="D252" s="5" t="s">
        <v>2392</v>
      </c>
      <c r="E252" s="4" t="s">
        <v>615</v>
      </c>
      <c r="F252" s="4" t="s">
        <v>1782</v>
      </c>
    </row>
    <row r="253" spans="1:6" x14ac:dyDescent="0.25">
      <c r="A253" s="4" t="s">
        <v>256</v>
      </c>
      <c r="B253">
        <v>252</v>
      </c>
      <c r="C253" s="4" t="s">
        <v>616</v>
      </c>
      <c r="D253" s="5" t="s">
        <v>2727</v>
      </c>
      <c r="E253" s="4" t="s">
        <v>617</v>
      </c>
      <c r="F253" s="4" t="s">
        <v>1783</v>
      </c>
    </row>
    <row r="254" spans="1:6" x14ac:dyDescent="0.25">
      <c r="A254" s="4" t="s">
        <v>256</v>
      </c>
      <c r="B254">
        <v>253</v>
      </c>
      <c r="C254" s="4" t="s">
        <v>618</v>
      </c>
      <c r="D254" s="5" t="s">
        <v>302</v>
      </c>
      <c r="E254" s="4" t="s">
        <v>302</v>
      </c>
      <c r="F254" s="4" t="s">
        <v>302</v>
      </c>
    </row>
    <row r="255" spans="1:6" x14ac:dyDescent="0.25">
      <c r="A255" s="4" t="s">
        <v>256</v>
      </c>
      <c r="B255">
        <v>254</v>
      </c>
      <c r="C255" s="4" t="s">
        <v>619</v>
      </c>
      <c r="D255" s="5" t="s">
        <v>2615</v>
      </c>
      <c r="E255" s="4" t="s">
        <v>620</v>
      </c>
      <c r="F255" s="4" t="s">
        <v>620</v>
      </c>
    </row>
    <row r="256" spans="1:6" x14ac:dyDescent="0.25">
      <c r="A256" s="4" t="s">
        <v>256</v>
      </c>
      <c r="B256">
        <v>255</v>
      </c>
      <c r="C256" s="4" t="s">
        <v>621</v>
      </c>
      <c r="D256" s="5" t="s">
        <v>302</v>
      </c>
      <c r="E256" s="4" t="s">
        <v>302</v>
      </c>
      <c r="F256" s="4" t="s">
        <v>302</v>
      </c>
    </row>
    <row r="257" spans="1:6" x14ac:dyDescent="0.25">
      <c r="A257" s="4" t="s">
        <v>256</v>
      </c>
      <c r="B257">
        <v>256</v>
      </c>
      <c r="C257" s="4" t="s">
        <v>622</v>
      </c>
      <c r="D257" s="5" t="s">
        <v>302</v>
      </c>
      <c r="E257" s="4" t="s">
        <v>302</v>
      </c>
      <c r="F257" s="4" t="s">
        <v>302</v>
      </c>
    </row>
    <row r="258" spans="1:6" x14ac:dyDescent="0.25">
      <c r="A258" s="4" t="s">
        <v>256</v>
      </c>
      <c r="B258">
        <v>257</v>
      </c>
      <c r="C258" s="4" t="s">
        <v>623</v>
      </c>
      <c r="D258" s="5" t="s">
        <v>302</v>
      </c>
      <c r="E258" s="4" t="s">
        <v>302</v>
      </c>
      <c r="F258" s="4" t="s">
        <v>302</v>
      </c>
    </row>
    <row r="259" spans="1:6" x14ac:dyDescent="0.25">
      <c r="A259" s="4" t="s">
        <v>256</v>
      </c>
      <c r="B259">
        <v>258</v>
      </c>
      <c r="C259" s="4" t="s">
        <v>624</v>
      </c>
      <c r="D259" s="5" t="s">
        <v>302</v>
      </c>
      <c r="E259" s="4" t="s">
        <v>302</v>
      </c>
      <c r="F259" s="4" t="s">
        <v>302</v>
      </c>
    </row>
    <row r="260" spans="1:6" x14ac:dyDescent="0.25">
      <c r="A260" s="4" t="s">
        <v>256</v>
      </c>
      <c r="B260">
        <v>259</v>
      </c>
      <c r="C260" s="4" t="s">
        <v>625</v>
      </c>
      <c r="D260" s="5" t="s">
        <v>302</v>
      </c>
      <c r="E260" s="4" t="s">
        <v>302</v>
      </c>
      <c r="F260" s="4" t="s">
        <v>302</v>
      </c>
    </row>
    <row r="261" spans="1:6" x14ac:dyDescent="0.25">
      <c r="A261" s="4" t="s">
        <v>256</v>
      </c>
      <c r="B261">
        <v>260</v>
      </c>
      <c r="C261" s="4" t="s">
        <v>626</v>
      </c>
      <c r="D261" s="5" t="s">
        <v>302</v>
      </c>
      <c r="E261" s="4" t="s">
        <v>302</v>
      </c>
      <c r="F261" s="4" t="s">
        <v>302</v>
      </c>
    </row>
    <row r="262" spans="1:6" x14ac:dyDescent="0.25">
      <c r="A262" s="4" t="s">
        <v>256</v>
      </c>
      <c r="B262">
        <v>261</v>
      </c>
      <c r="C262" s="4" t="s">
        <v>627</v>
      </c>
      <c r="D262" s="5" t="s">
        <v>302</v>
      </c>
      <c r="E262" s="4" t="s">
        <v>302</v>
      </c>
      <c r="F262" s="4" t="s">
        <v>302</v>
      </c>
    </row>
    <row r="263" spans="1:6" x14ac:dyDescent="0.25">
      <c r="A263" s="4" t="s">
        <v>256</v>
      </c>
      <c r="B263">
        <v>262</v>
      </c>
      <c r="C263" s="4" t="s">
        <v>628</v>
      </c>
      <c r="D263" s="5" t="s">
        <v>302</v>
      </c>
      <c r="E263" s="4" t="s">
        <v>302</v>
      </c>
      <c r="F263" s="4" t="s">
        <v>302</v>
      </c>
    </row>
    <row r="264" spans="1:6" x14ac:dyDescent="0.25">
      <c r="A264" s="4" t="s">
        <v>256</v>
      </c>
      <c r="B264">
        <v>263</v>
      </c>
      <c r="C264" s="4" t="s">
        <v>629</v>
      </c>
      <c r="D264" s="5" t="s">
        <v>2728</v>
      </c>
      <c r="E264" s="4" t="s">
        <v>630</v>
      </c>
      <c r="F264" s="4" t="s">
        <v>1784</v>
      </c>
    </row>
    <row r="265" spans="1:6" x14ac:dyDescent="0.25">
      <c r="A265" s="4" t="s">
        <v>256</v>
      </c>
      <c r="B265">
        <v>264</v>
      </c>
      <c r="C265" s="4" t="s">
        <v>631</v>
      </c>
      <c r="D265" s="5" t="s">
        <v>302</v>
      </c>
      <c r="E265" s="4" t="s">
        <v>302</v>
      </c>
      <c r="F265" s="4" t="s">
        <v>302</v>
      </c>
    </row>
    <row r="266" spans="1:6" x14ac:dyDescent="0.25">
      <c r="A266" s="4" t="s">
        <v>256</v>
      </c>
      <c r="B266">
        <v>265</v>
      </c>
      <c r="C266" s="4" t="s">
        <v>632</v>
      </c>
      <c r="D266" s="5" t="s">
        <v>302</v>
      </c>
      <c r="E266" s="4" t="s">
        <v>302</v>
      </c>
      <c r="F266" s="4" t="s">
        <v>302</v>
      </c>
    </row>
    <row r="267" spans="1:6" x14ac:dyDescent="0.25">
      <c r="A267" s="4" t="s">
        <v>256</v>
      </c>
      <c r="B267">
        <v>266</v>
      </c>
      <c r="C267" s="4" t="s">
        <v>633</v>
      </c>
      <c r="D267" s="5" t="s">
        <v>302</v>
      </c>
      <c r="E267" s="4" t="s">
        <v>302</v>
      </c>
      <c r="F267" s="4" t="s">
        <v>302</v>
      </c>
    </row>
    <row r="268" spans="1:6" x14ac:dyDescent="0.25">
      <c r="A268" s="4" t="s">
        <v>256</v>
      </c>
      <c r="B268">
        <v>267</v>
      </c>
      <c r="C268" s="4" t="s">
        <v>634</v>
      </c>
      <c r="D268" s="5" t="s">
        <v>302</v>
      </c>
      <c r="E268" s="4" t="s">
        <v>302</v>
      </c>
      <c r="F268" s="4" t="s">
        <v>302</v>
      </c>
    </row>
    <row r="269" spans="1:6" x14ac:dyDescent="0.25">
      <c r="A269" s="4" t="s">
        <v>256</v>
      </c>
      <c r="B269">
        <v>268</v>
      </c>
      <c r="C269" s="4" t="s">
        <v>635</v>
      </c>
      <c r="D269" s="5" t="s">
        <v>2729</v>
      </c>
      <c r="E269" s="4" t="s">
        <v>636</v>
      </c>
      <c r="F269" s="4" t="s">
        <v>1785</v>
      </c>
    </row>
    <row r="270" spans="1:6" x14ac:dyDescent="0.25">
      <c r="A270" s="4" t="s">
        <v>256</v>
      </c>
      <c r="B270">
        <v>269</v>
      </c>
      <c r="C270" s="4" t="s">
        <v>637</v>
      </c>
      <c r="D270" s="5" t="s">
        <v>302</v>
      </c>
      <c r="E270" s="4" t="s">
        <v>302</v>
      </c>
      <c r="F270" s="4" t="s">
        <v>302</v>
      </c>
    </row>
    <row r="271" spans="1:6" x14ac:dyDescent="0.25">
      <c r="A271" s="4" t="s">
        <v>256</v>
      </c>
      <c r="B271">
        <v>270</v>
      </c>
      <c r="C271" s="4" t="s">
        <v>638</v>
      </c>
      <c r="D271" s="5" t="s">
        <v>302</v>
      </c>
      <c r="E271" s="4" t="s">
        <v>302</v>
      </c>
      <c r="F271" s="4" t="s">
        <v>302</v>
      </c>
    </row>
    <row r="272" spans="1:6" x14ac:dyDescent="0.25">
      <c r="A272" s="4" t="s">
        <v>256</v>
      </c>
      <c r="B272">
        <v>271</v>
      </c>
      <c r="C272" s="4" t="s">
        <v>639</v>
      </c>
      <c r="D272" s="5" t="s">
        <v>302</v>
      </c>
      <c r="E272" s="4" t="s">
        <v>302</v>
      </c>
      <c r="F272" s="4" t="s">
        <v>302</v>
      </c>
    </row>
    <row r="273" spans="1:6" x14ac:dyDescent="0.25">
      <c r="A273" s="4" t="s">
        <v>256</v>
      </c>
      <c r="B273">
        <v>272</v>
      </c>
      <c r="C273" s="4" t="s">
        <v>640</v>
      </c>
      <c r="D273" s="5" t="s">
        <v>302</v>
      </c>
      <c r="E273" s="4" t="s">
        <v>302</v>
      </c>
      <c r="F273" s="4" t="s">
        <v>302</v>
      </c>
    </row>
    <row r="274" spans="1:6" x14ac:dyDescent="0.25">
      <c r="A274" s="4" t="s">
        <v>256</v>
      </c>
      <c r="B274">
        <v>273</v>
      </c>
      <c r="C274" s="4" t="s">
        <v>641</v>
      </c>
      <c r="D274" s="5" t="s">
        <v>302</v>
      </c>
      <c r="E274" s="4" t="s">
        <v>302</v>
      </c>
      <c r="F274" s="4" t="s">
        <v>302</v>
      </c>
    </row>
    <row r="275" spans="1:6" x14ac:dyDescent="0.25">
      <c r="A275" s="4" t="s">
        <v>256</v>
      </c>
      <c r="B275">
        <v>274</v>
      </c>
      <c r="C275" s="4" t="s">
        <v>642</v>
      </c>
      <c r="D275" s="5" t="s">
        <v>2580</v>
      </c>
      <c r="E275" s="4" t="s">
        <v>643</v>
      </c>
      <c r="F275" s="4" t="s">
        <v>1786</v>
      </c>
    </row>
    <row r="276" spans="1:6" x14ac:dyDescent="0.25">
      <c r="A276" s="4" t="s">
        <v>256</v>
      </c>
      <c r="B276">
        <v>275</v>
      </c>
      <c r="C276" s="4" t="s">
        <v>644</v>
      </c>
      <c r="D276" s="5" t="s">
        <v>2580</v>
      </c>
      <c r="E276" s="4" t="s">
        <v>645</v>
      </c>
      <c r="F276" s="4" t="s">
        <v>1787</v>
      </c>
    </row>
    <row r="277" spans="1:6" x14ac:dyDescent="0.25">
      <c r="A277" s="4" t="s">
        <v>256</v>
      </c>
      <c r="B277">
        <v>276</v>
      </c>
      <c r="C277" s="4" t="s">
        <v>646</v>
      </c>
      <c r="D277" s="5" t="s">
        <v>302</v>
      </c>
      <c r="E277" s="4" t="s">
        <v>302</v>
      </c>
      <c r="F277" s="4" t="s">
        <v>302</v>
      </c>
    </row>
    <row r="278" spans="1:6" x14ac:dyDescent="0.25">
      <c r="A278" s="4" t="s">
        <v>256</v>
      </c>
      <c r="B278">
        <v>277</v>
      </c>
      <c r="C278" s="4" t="s">
        <v>647</v>
      </c>
      <c r="D278" s="5" t="s">
        <v>302</v>
      </c>
      <c r="E278" s="4" t="s">
        <v>302</v>
      </c>
      <c r="F278" s="4" t="s">
        <v>302</v>
      </c>
    </row>
    <row r="279" spans="1:6" x14ac:dyDescent="0.25">
      <c r="A279" s="4" t="s">
        <v>256</v>
      </c>
      <c r="B279">
        <v>278</v>
      </c>
      <c r="C279" s="4" t="s">
        <v>648</v>
      </c>
      <c r="D279" s="5" t="s">
        <v>302</v>
      </c>
      <c r="E279" s="4" t="s">
        <v>302</v>
      </c>
      <c r="F279" s="4" t="s">
        <v>302</v>
      </c>
    </row>
    <row r="280" spans="1:6" x14ac:dyDescent="0.25">
      <c r="A280" s="4" t="s">
        <v>256</v>
      </c>
      <c r="B280">
        <v>279</v>
      </c>
      <c r="C280" s="4" t="s">
        <v>649</v>
      </c>
      <c r="D280" s="5" t="s">
        <v>302</v>
      </c>
      <c r="E280" s="4" t="s">
        <v>302</v>
      </c>
      <c r="F280" s="4" t="s">
        <v>302</v>
      </c>
    </row>
    <row r="281" spans="1:6" x14ac:dyDescent="0.25">
      <c r="A281" s="4" t="s">
        <v>256</v>
      </c>
      <c r="B281">
        <v>280</v>
      </c>
      <c r="C281" s="4" t="s">
        <v>650</v>
      </c>
      <c r="D281" s="5" t="s">
        <v>302</v>
      </c>
      <c r="E281" s="4" t="s">
        <v>302</v>
      </c>
      <c r="F281" s="4" t="s">
        <v>302</v>
      </c>
    </row>
    <row r="282" spans="1:6" x14ac:dyDescent="0.25">
      <c r="A282" s="4" t="s">
        <v>256</v>
      </c>
      <c r="B282">
        <v>281</v>
      </c>
      <c r="C282" s="4" t="s">
        <v>269</v>
      </c>
      <c r="D282" s="5" t="s">
        <v>2645</v>
      </c>
      <c r="E282" s="4" t="s">
        <v>270</v>
      </c>
      <c r="F282" s="4" t="s">
        <v>1679</v>
      </c>
    </row>
    <row r="283" spans="1:6" x14ac:dyDescent="0.25">
      <c r="A283" s="4" t="s">
        <v>256</v>
      </c>
      <c r="B283">
        <v>282</v>
      </c>
      <c r="C283" s="4" t="s">
        <v>651</v>
      </c>
      <c r="D283" s="5" t="s">
        <v>302</v>
      </c>
      <c r="E283" s="4" t="s">
        <v>302</v>
      </c>
      <c r="F283" s="4" t="s">
        <v>302</v>
      </c>
    </row>
    <row r="284" spans="1:6" x14ac:dyDescent="0.25">
      <c r="A284" s="4" t="s">
        <v>256</v>
      </c>
      <c r="B284">
        <v>283</v>
      </c>
      <c r="C284" s="4" t="s">
        <v>652</v>
      </c>
      <c r="D284" s="5" t="s">
        <v>302</v>
      </c>
      <c r="E284" s="4" t="s">
        <v>302</v>
      </c>
      <c r="F284" s="4" t="s">
        <v>302</v>
      </c>
    </row>
    <row r="285" spans="1:6" x14ac:dyDescent="0.25">
      <c r="A285" s="4" t="s">
        <v>256</v>
      </c>
      <c r="B285">
        <v>284</v>
      </c>
      <c r="C285" s="4" t="s">
        <v>653</v>
      </c>
      <c r="D285" s="5" t="s">
        <v>302</v>
      </c>
      <c r="E285" s="4" t="s">
        <v>302</v>
      </c>
      <c r="F285" s="4" t="s">
        <v>302</v>
      </c>
    </row>
    <row r="286" spans="1:6" x14ac:dyDescent="0.25">
      <c r="A286" s="4" t="s">
        <v>256</v>
      </c>
      <c r="B286">
        <v>285</v>
      </c>
      <c r="C286" s="4" t="s">
        <v>654</v>
      </c>
      <c r="D286" s="5" t="s">
        <v>2730</v>
      </c>
      <c r="E286" s="4" t="s">
        <v>655</v>
      </c>
      <c r="F286" s="4" t="s">
        <v>1788</v>
      </c>
    </row>
    <row r="287" spans="1:6" x14ac:dyDescent="0.25">
      <c r="A287" s="4" t="s">
        <v>256</v>
      </c>
      <c r="B287">
        <v>286</v>
      </c>
      <c r="C287" s="4" t="s">
        <v>656</v>
      </c>
      <c r="D287" s="5" t="s">
        <v>302</v>
      </c>
      <c r="E287" s="4" t="s">
        <v>302</v>
      </c>
      <c r="F287" s="4" t="s">
        <v>302</v>
      </c>
    </row>
    <row r="288" spans="1:6" x14ac:dyDescent="0.25">
      <c r="A288" s="4" t="s">
        <v>256</v>
      </c>
      <c r="B288">
        <v>287</v>
      </c>
      <c r="C288" s="4" t="s">
        <v>657</v>
      </c>
      <c r="D288" s="5" t="s">
        <v>302</v>
      </c>
      <c r="E288" s="4" t="s">
        <v>302</v>
      </c>
      <c r="F288" s="4" t="s">
        <v>302</v>
      </c>
    </row>
    <row r="289" spans="1:6" x14ac:dyDescent="0.25">
      <c r="A289" s="4" t="s">
        <v>256</v>
      </c>
      <c r="B289">
        <v>288</v>
      </c>
      <c r="C289" s="4" t="s">
        <v>658</v>
      </c>
      <c r="D289" s="5" t="s">
        <v>302</v>
      </c>
      <c r="E289" s="4" t="s">
        <v>302</v>
      </c>
      <c r="F289" s="4" t="s">
        <v>302</v>
      </c>
    </row>
    <row r="290" spans="1:6" x14ac:dyDescent="0.25">
      <c r="A290" s="4" t="s">
        <v>256</v>
      </c>
      <c r="B290">
        <v>289</v>
      </c>
      <c r="C290" s="4" t="s">
        <v>659</v>
      </c>
      <c r="D290" s="5" t="s">
        <v>302</v>
      </c>
      <c r="E290" s="4" t="s">
        <v>302</v>
      </c>
      <c r="F290" s="4" t="s">
        <v>302</v>
      </c>
    </row>
    <row r="291" spans="1:6" x14ac:dyDescent="0.25">
      <c r="A291" s="4" t="s">
        <v>256</v>
      </c>
      <c r="B291">
        <v>290</v>
      </c>
      <c r="C291" s="4" t="s">
        <v>660</v>
      </c>
      <c r="D291" s="5" t="s">
        <v>302</v>
      </c>
      <c r="E291" s="4" t="s">
        <v>302</v>
      </c>
      <c r="F291" s="4" t="s">
        <v>302</v>
      </c>
    </row>
    <row r="292" spans="1:6" x14ac:dyDescent="0.25">
      <c r="A292" s="4" t="s">
        <v>256</v>
      </c>
      <c r="B292">
        <v>291</v>
      </c>
      <c r="C292" s="4" t="s">
        <v>661</v>
      </c>
      <c r="D292" s="5" t="s">
        <v>302</v>
      </c>
      <c r="E292" s="4" t="s">
        <v>302</v>
      </c>
      <c r="F292" s="4" t="s">
        <v>302</v>
      </c>
    </row>
    <row r="293" spans="1:6" x14ac:dyDescent="0.25">
      <c r="A293" s="4" t="s">
        <v>256</v>
      </c>
      <c r="B293">
        <v>292</v>
      </c>
      <c r="C293" s="4" t="s">
        <v>662</v>
      </c>
      <c r="D293" s="5" t="s">
        <v>302</v>
      </c>
      <c r="E293" s="4" t="s">
        <v>302</v>
      </c>
      <c r="F293" s="4" t="s">
        <v>302</v>
      </c>
    </row>
    <row r="294" spans="1:6" x14ac:dyDescent="0.25">
      <c r="A294" s="4" t="s">
        <v>256</v>
      </c>
      <c r="B294">
        <v>293</v>
      </c>
      <c r="C294" s="4" t="s">
        <v>663</v>
      </c>
      <c r="D294" s="5" t="s">
        <v>302</v>
      </c>
      <c r="E294" s="4" t="s">
        <v>302</v>
      </c>
      <c r="F294" s="4" t="s">
        <v>302</v>
      </c>
    </row>
    <row r="295" spans="1:6" x14ac:dyDescent="0.25">
      <c r="A295" s="4" t="s">
        <v>256</v>
      </c>
      <c r="B295">
        <v>294</v>
      </c>
      <c r="C295" s="4" t="s">
        <v>664</v>
      </c>
      <c r="D295" s="5" t="s">
        <v>302</v>
      </c>
      <c r="E295" s="4" t="s">
        <v>302</v>
      </c>
      <c r="F295" s="4" t="s">
        <v>302</v>
      </c>
    </row>
    <row r="296" spans="1:6" x14ac:dyDescent="0.25">
      <c r="A296" s="4" t="s">
        <v>256</v>
      </c>
      <c r="B296">
        <v>295</v>
      </c>
      <c r="C296" s="4" t="s">
        <v>665</v>
      </c>
      <c r="D296" s="5" t="s">
        <v>2731</v>
      </c>
      <c r="E296" s="4" t="s">
        <v>1643</v>
      </c>
      <c r="F296" s="4" t="s">
        <v>1789</v>
      </c>
    </row>
    <row r="297" spans="1:6" x14ac:dyDescent="0.25">
      <c r="A297" s="4" t="s">
        <v>256</v>
      </c>
      <c r="B297">
        <v>296</v>
      </c>
      <c r="C297" s="4" t="s">
        <v>666</v>
      </c>
      <c r="D297" s="5" t="s">
        <v>2648</v>
      </c>
      <c r="E297" s="4" t="s">
        <v>667</v>
      </c>
      <c r="F297" s="4" t="s">
        <v>1790</v>
      </c>
    </row>
    <row r="298" spans="1:6" x14ac:dyDescent="0.25">
      <c r="A298" s="4" t="s">
        <v>256</v>
      </c>
      <c r="B298">
        <v>297</v>
      </c>
      <c r="C298" s="4" t="s">
        <v>277</v>
      </c>
      <c r="D298" s="5" t="s">
        <v>2648</v>
      </c>
      <c r="E298" s="4" t="s">
        <v>278</v>
      </c>
      <c r="F298" s="4" t="s">
        <v>1683</v>
      </c>
    </row>
    <row r="299" spans="1:6" x14ac:dyDescent="0.25">
      <c r="A299" s="4" t="s">
        <v>256</v>
      </c>
      <c r="B299">
        <v>298</v>
      </c>
      <c r="C299" s="4" t="s">
        <v>668</v>
      </c>
      <c r="D299" s="5" t="s">
        <v>302</v>
      </c>
      <c r="E299" s="4" t="s">
        <v>302</v>
      </c>
      <c r="F299" s="4" t="s">
        <v>302</v>
      </c>
    </row>
    <row r="300" spans="1:6" x14ac:dyDescent="0.25">
      <c r="A300" s="4" t="s">
        <v>256</v>
      </c>
      <c r="B300">
        <v>299</v>
      </c>
      <c r="C300" s="4" t="s">
        <v>669</v>
      </c>
      <c r="D300" s="5" t="s">
        <v>302</v>
      </c>
      <c r="E300" s="4" t="s">
        <v>302</v>
      </c>
      <c r="F300" s="4" t="s">
        <v>302</v>
      </c>
    </row>
    <row r="301" spans="1:6" x14ac:dyDescent="0.25">
      <c r="A301" s="4" t="s">
        <v>256</v>
      </c>
      <c r="B301">
        <v>300</v>
      </c>
      <c r="C301" s="4" t="s">
        <v>670</v>
      </c>
      <c r="D301" s="5" t="s">
        <v>2732</v>
      </c>
      <c r="E301" s="4" t="s">
        <v>671</v>
      </c>
      <c r="F301" s="4" t="s">
        <v>1791</v>
      </c>
    </row>
    <row r="302" spans="1:6" x14ac:dyDescent="0.25">
      <c r="A302" s="4" t="s">
        <v>256</v>
      </c>
      <c r="B302">
        <v>301</v>
      </c>
      <c r="C302" s="4" t="s">
        <v>672</v>
      </c>
      <c r="D302" s="5" t="s">
        <v>302</v>
      </c>
      <c r="E302" s="4" t="s">
        <v>302</v>
      </c>
      <c r="F302" s="4" t="s">
        <v>302</v>
      </c>
    </row>
    <row r="303" spans="1:6" x14ac:dyDescent="0.25">
      <c r="A303" s="4" t="s">
        <v>256</v>
      </c>
      <c r="B303">
        <v>302</v>
      </c>
      <c r="C303" s="4" t="s">
        <v>673</v>
      </c>
      <c r="D303" s="5" t="s">
        <v>302</v>
      </c>
      <c r="E303" s="4" t="s">
        <v>302</v>
      </c>
      <c r="F303" s="4" t="s">
        <v>302</v>
      </c>
    </row>
    <row r="304" spans="1:6" x14ac:dyDescent="0.25">
      <c r="A304" s="4" t="s">
        <v>256</v>
      </c>
      <c r="B304">
        <v>303</v>
      </c>
      <c r="C304" s="4" t="s">
        <v>674</v>
      </c>
      <c r="D304" s="5" t="s">
        <v>302</v>
      </c>
      <c r="E304" s="4" t="s">
        <v>302</v>
      </c>
      <c r="F304" s="4" t="s">
        <v>302</v>
      </c>
    </row>
    <row r="305" spans="1:6" x14ac:dyDescent="0.25">
      <c r="A305" s="4" t="s">
        <v>256</v>
      </c>
      <c r="B305">
        <v>304</v>
      </c>
      <c r="C305" s="4" t="s">
        <v>675</v>
      </c>
      <c r="D305" s="5" t="s">
        <v>302</v>
      </c>
      <c r="E305" s="4" t="s">
        <v>302</v>
      </c>
      <c r="F305" s="4" t="s">
        <v>302</v>
      </c>
    </row>
    <row r="306" spans="1:6" x14ac:dyDescent="0.25">
      <c r="A306" s="4" t="s">
        <v>256</v>
      </c>
      <c r="B306">
        <v>305</v>
      </c>
      <c r="C306" s="4" t="s">
        <v>676</v>
      </c>
      <c r="D306" s="5" t="s">
        <v>302</v>
      </c>
      <c r="E306" s="4" t="s">
        <v>302</v>
      </c>
      <c r="F306" s="4" t="s">
        <v>302</v>
      </c>
    </row>
    <row r="307" spans="1:6" x14ac:dyDescent="0.25">
      <c r="A307" s="4" t="s">
        <v>256</v>
      </c>
      <c r="B307">
        <v>306</v>
      </c>
      <c r="C307" s="4" t="s">
        <v>677</v>
      </c>
      <c r="D307" s="5" t="s">
        <v>302</v>
      </c>
      <c r="E307" s="4" t="s">
        <v>302</v>
      </c>
      <c r="F307" s="4" t="s">
        <v>302</v>
      </c>
    </row>
    <row r="308" spans="1:6" x14ac:dyDescent="0.25">
      <c r="A308" s="4" t="s">
        <v>256</v>
      </c>
      <c r="B308">
        <v>307</v>
      </c>
      <c r="C308" s="4" t="s">
        <v>678</v>
      </c>
      <c r="D308" s="5" t="s">
        <v>302</v>
      </c>
      <c r="E308" s="4" t="s">
        <v>302</v>
      </c>
      <c r="F308" s="4" t="s">
        <v>302</v>
      </c>
    </row>
    <row r="309" spans="1:6" x14ac:dyDescent="0.25">
      <c r="A309" s="4" t="s">
        <v>256</v>
      </c>
      <c r="B309">
        <v>308</v>
      </c>
      <c r="C309" s="4" t="s">
        <v>679</v>
      </c>
      <c r="D309" s="5" t="s">
        <v>302</v>
      </c>
      <c r="E309" s="4" t="s">
        <v>302</v>
      </c>
      <c r="F309" s="4" t="s">
        <v>302</v>
      </c>
    </row>
    <row r="310" spans="1:6" x14ac:dyDescent="0.25">
      <c r="A310" s="4" t="s">
        <v>256</v>
      </c>
      <c r="B310">
        <v>309</v>
      </c>
      <c r="C310" s="4" t="s">
        <v>680</v>
      </c>
      <c r="D310" s="5" t="s">
        <v>302</v>
      </c>
      <c r="E310" s="4" t="s">
        <v>302</v>
      </c>
      <c r="F310" s="4" t="s">
        <v>302</v>
      </c>
    </row>
    <row r="311" spans="1:6" x14ac:dyDescent="0.25">
      <c r="A311" s="4" t="s">
        <v>256</v>
      </c>
      <c r="B311">
        <v>310</v>
      </c>
      <c r="C311" s="4" t="s">
        <v>681</v>
      </c>
      <c r="D311" s="5" t="s">
        <v>302</v>
      </c>
      <c r="E311" s="4" t="s">
        <v>302</v>
      </c>
      <c r="F311" s="4" t="s">
        <v>302</v>
      </c>
    </row>
    <row r="312" spans="1:6" x14ac:dyDescent="0.25">
      <c r="A312" s="4" t="s">
        <v>256</v>
      </c>
      <c r="B312">
        <v>311</v>
      </c>
      <c r="C312" s="4" t="s">
        <v>682</v>
      </c>
      <c r="D312" s="5" t="s">
        <v>302</v>
      </c>
      <c r="E312" s="4" t="s">
        <v>302</v>
      </c>
      <c r="F312" s="4" t="s">
        <v>302</v>
      </c>
    </row>
    <row r="313" spans="1:6" x14ac:dyDescent="0.25">
      <c r="A313" s="4" t="s">
        <v>256</v>
      </c>
      <c r="B313">
        <v>312</v>
      </c>
      <c r="C313" s="4" t="s">
        <v>683</v>
      </c>
      <c r="D313" s="5" t="s">
        <v>302</v>
      </c>
      <c r="E313" s="4" t="s">
        <v>302</v>
      </c>
      <c r="F313" s="4" t="s">
        <v>302</v>
      </c>
    </row>
    <row r="314" spans="1:6" x14ac:dyDescent="0.25">
      <c r="A314" s="4" t="s">
        <v>256</v>
      </c>
      <c r="B314">
        <v>313</v>
      </c>
      <c r="C314" s="4" t="s">
        <v>684</v>
      </c>
      <c r="D314" s="5" t="s">
        <v>302</v>
      </c>
      <c r="E314" s="4" t="s">
        <v>302</v>
      </c>
      <c r="F314" s="4" t="s">
        <v>302</v>
      </c>
    </row>
    <row r="315" spans="1:6" x14ac:dyDescent="0.25">
      <c r="A315" s="4" t="s">
        <v>256</v>
      </c>
      <c r="B315">
        <v>314</v>
      </c>
      <c r="C315" s="4" t="s">
        <v>685</v>
      </c>
      <c r="D315" s="5" t="s">
        <v>302</v>
      </c>
      <c r="E315" s="4" t="s">
        <v>302</v>
      </c>
      <c r="F315" s="4" t="s">
        <v>302</v>
      </c>
    </row>
    <row r="316" spans="1:6" x14ac:dyDescent="0.25">
      <c r="A316" s="4" t="s">
        <v>256</v>
      </c>
      <c r="B316">
        <v>315</v>
      </c>
      <c r="C316" s="4" t="s">
        <v>686</v>
      </c>
      <c r="D316" s="5" t="s">
        <v>317</v>
      </c>
      <c r="E316" s="4" t="s">
        <v>687</v>
      </c>
      <c r="F316" s="4" t="s">
        <v>1792</v>
      </c>
    </row>
    <row r="317" spans="1:6" x14ac:dyDescent="0.25">
      <c r="A317" s="4" t="s">
        <v>256</v>
      </c>
      <c r="B317">
        <v>316</v>
      </c>
      <c r="C317" s="4" t="s">
        <v>688</v>
      </c>
      <c r="D317" s="5" t="s">
        <v>302</v>
      </c>
      <c r="E317" s="4" t="s">
        <v>302</v>
      </c>
      <c r="F317" s="4" t="s">
        <v>302</v>
      </c>
    </row>
    <row r="318" spans="1:6" x14ac:dyDescent="0.25">
      <c r="A318" s="4" t="s">
        <v>256</v>
      </c>
      <c r="B318">
        <v>317</v>
      </c>
      <c r="C318" s="4" t="s">
        <v>689</v>
      </c>
      <c r="D318" s="5" t="s">
        <v>302</v>
      </c>
      <c r="E318" s="4" t="s">
        <v>302</v>
      </c>
      <c r="F318" s="4" t="s">
        <v>302</v>
      </c>
    </row>
    <row r="319" spans="1:6" x14ac:dyDescent="0.25">
      <c r="A319" s="4" t="s">
        <v>256</v>
      </c>
      <c r="B319">
        <v>318</v>
      </c>
      <c r="C319" s="4" t="s">
        <v>303</v>
      </c>
      <c r="D319" s="5" t="s">
        <v>2603</v>
      </c>
      <c r="E319" s="4" t="s">
        <v>304</v>
      </c>
      <c r="F319" s="4" t="s">
        <v>1695</v>
      </c>
    </row>
    <row r="320" spans="1:6" x14ac:dyDescent="0.25">
      <c r="A320" s="4" t="s">
        <v>256</v>
      </c>
      <c r="B320">
        <v>319</v>
      </c>
      <c r="C320" s="4" t="s">
        <v>690</v>
      </c>
      <c r="D320" s="5" t="s">
        <v>302</v>
      </c>
      <c r="E320" s="4" t="s">
        <v>302</v>
      </c>
      <c r="F320" s="4" t="s">
        <v>302</v>
      </c>
    </row>
    <row r="321" spans="1:6" x14ac:dyDescent="0.25">
      <c r="A321" s="4" t="s">
        <v>256</v>
      </c>
      <c r="B321">
        <v>320</v>
      </c>
      <c r="C321" s="4" t="s">
        <v>691</v>
      </c>
      <c r="D321" s="5" t="s">
        <v>2524</v>
      </c>
      <c r="E321" s="4" t="s">
        <v>692</v>
      </c>
      <c r="F321" s="4" t="s">
        <v>1793</v>
      </c>
    </row>
    <row r="322" spans="1:6" x14ac:dyDescent="0.25">
      <c r="A322" s="4" t="s">
        <v>256</v>
      </c>
      <c r="B322">
        <v>321</v>
      </c>
      <c r="C322" s="4" t="s">
        <v>693</v>
      </c>
      <c r="D322" s="5" t="s">
        <v>302</v>
      </c>
      <c r="E322" s="4" t="s">
        <v>302</v>
      </c>
      <c r="F322" s="4" t="s">
        <v>302</v>
      </c>
    </row>
    <row r="323" spans="1:6" x14ac:dyDescent="0.25">
      <c r="A323" s="4" t="s">
        <v>256</v>
      </c>
      <c r="B323">
        <v>322</v>
      </c>
      <c r="C323" s="4" t="s">
        <v>694</v>
      </c>
      <c r="D323" s="5" t="s">
        <v>302</v>
      </c>
      <c r="E323" s="4" t="s">
        <v>302</v>
      </c>
      <c r="F323" s="4" t="s">
        <v>302</v>
      </c>
    </row>
    <row r="324" spans="1:6" x14ac:dyDescent="0.25">
      <c r="A324" s="4" t="s">
        <v>256</v>
      </c>
      <c r="B324">
        <v>323</v>
      </c>
      <c r="C324" s="4" t="s">
        <v>695</v>
      </c>
      <c r="D324" s="5" t="s">
        <v>302</v>
      </c>
      <c r="E324" s="4" t="s">
        <v>302</v>
      </c>
      <c r="F324" s="4" t="s">
        <v>302</v>
      </c>
    </row>
    <row r="325" spans="1:6" x14ac:dyDescent="0.25">
      <c r="A325" s="4" t="s">
        <v>256</v>
      </c>
      <c r="B325">
        <v>324</v>
      </c>
      <c r="C325" s="4" t="s">
        <v>696</v>
      </c>
      <c r="D325" s="5" t="s">
        <v>302</v>
      </c>
      <c r="E325" s="4" t="s">
        <v>302</v>
      </c>
      <c r="F325" s="4" t="s">
        <v>302</v>
      </c>
    </row>
    <row r="326" spans="1:6" x14ac:dyDescent="0.25">
      <c r="A326" s="4" t="s">
        <v>256</v>
      </c>
      <c r="B326">
        <v>325</v>
      </c>
      <c r="C326" s="4" t="s">
        <v>697</v>
      </c>
      <c r="D326" s="5" t="s">
        <v>302</v>
      </c>
      <c r="E326" s="4" t="s">
        <v>302</v>
      </c>
      <c r="F326" s="4" t="s">
        <v>302</v>
      </c>
    </row>
    <row r="327" spans="1:6" x14ac:dyDescent="0.25">
      <c r="A327" s="4" t="s">
        <v>256</v>
      </c>
      <c r="B327">
        <v>326</v>
      </c>
      <c r="C327" s="4" t="s">
        <v>698</v>
      </c>
      <c r="D327" s="5" t="s">
        <v>302</v>
      </c>
      <c r="E327" s="4" t="s">
        <v>302</v>
      </c>
      <c r="F327" s="4" t="s">
        <v>302</v>
      </c>
    </row>
    <row r="328" spans="1:6" x14ac:dyDescent="0.25">
      <c r="A328" s="4" t="s">
        <v>256</v>
      </c>
      <c r="B328">
        <v>327</v>
      </c>
      <c r="C328" s="4" t="s">
        <v>699</v>
      </c>
      <c r="D328" s="5" t="s">
        <v>317</v>
      </c>
      <c r="E328" s="4" t="s">
        <v>700</v>
      </c>
      <c r="F328" s="4" t="s">
        <v>1794</v>
      </c>
    </row>
    <row r="329" spans="1:6" x14ac:dyDescent="0.25">
      <c r="A329" s="4" t="s">
        <v>256</v>
      </c>
      <c r="B329">
        <v>328</v>
      </c>
      <c r="C329" s="4" t="s">
        <v>701</v>
      </c>
      <c r="D329" s="5" t="s">
        <v>302</v>
      </c>
      <c r="E329" s="4" t="s">
        <v>302</v>
      </c>
      <c r="F329" s="4" t="s">
        <v>302</v>
      </c>
    </row>
    <row r="330" spans="1:6" x14ac:dyDescent="0.25">
      <c r="A330" s="4" t="s">
        <v>256</v>
      </c>
      <c r="B330">
        <v>329</v>
      </c>
      <c r="C330" s="4" t="s">
        <v>702</v>
      </c>
      <c r="D330" s="5" t="s">
        <v>302</v>
      </c>
      <c r="E330" s="4" t="s">
        <v>302</v>
      </c>
      <c r="F330" s="4" t="s">
        <v>302</v>
      </c>
    </row>
    <row r="331" spans="1:6" x14ac:dyDescent="0.25">
      <c r="A331" s="4" t="s">
        <v>256</v>
      </c>
      <c r="B331">
        <v>330</v>
      </c>
      <c r="C331" s="4" t="s">
        <v>703</v>
      </c>
      <c r="D331" s="5" t="s">
        <v>302</v>
      </c>
      <c r="E331" s="4" t="s">
        <v>302</v>
      </c>
      <c r="F331" s="4" t="s">
        <v>302</v>
      </c>
    </row>
    <row r="332" spans="1:6" x14ac:dyDescent="0.25">
      <c r="A332" s="4" t="s">
        <v>256</v>
      </c>
      <c r="B332">
        <v>331</v>
      </c>
      <c r="C332" s="4" t="s">
        <v>704</v>
      </c>
      <c r="D332" s="5" t="s">
        <v>302</v>
      </c>
      <c r="E332" s="4" t="s">
        <v>302</v>
      </c>
      <c r="F332" s="4" t="s">
        <v>302</v>
      </c>
    </row>
    <row r="333" spans="1:6" x14ac:dyDescent="0.25">
      <c r="A333" s="4" t="s">
        <v>256</v>
      </c>
      <c r="B333">
        <v>332</v>
      </c>
      <c r="C333" s="4" t="s">
        <v>705</v>
      </c>
      <c r="D333" s="5" t="s">
        <v>706</v>
      </c>
      <c r="E333" s="4" t="s">
        <v>707</v>
      </c>
      <c r="F333" s="4" t="s">
        <v>1795</v>
      </c>
    </row>
    <row r="334" spans="1:6" x14ac:dyDescent="0.25">
      <c r="A334" s="4" t="s">
        <v>256</v>
      </c>
      <c r="B334">
        <v>333</v>
      </c>
      <c r="C334" s="4" t="s">
        <v>708</v>
      </c>
      <c r="D334" s="5" t="s">
        <v>2733</v>
      </c>
      <c r="E334" s="4" t="s">
        <v>709</v>
      </c>
      <c r="F334" s="4" t="s">
        <v>1796</v>
      </c>
    </row>
    <row r="335" spans="1:6" x14ac:dyDescent="0.25">
      <c r="A335" s="4" t="s">
        <v>256</v>
      </c>
      <c r="B335">
        <v>334</v>
      </c>
      <c r="C335" s="4" t="s">
        <v>710</v>
      </c>
      <c r="D335" s="5" t="s">
        <v>2734</v>
      </c>
      <c r="E335" s="4" t="s">
        <v>711</v>
      </c>
      <c r="F335" s="4" t="s">
        <v>1797</v>
      </c>
    </row>
    <row r="336" spans="1:6" x14ac:dyDescent="0.25">
      <c r="A336" s="4" t="s">
        <v>256</v>
      </c>
      <c r="B336">
        <v>335</v>
      </c>
      <c r="C336" s="4" t="s">
        <v>712</v>
      </c>
      <c r="D336" s="5" t="s">
        <v>302</v>
      </c>
      <c r="E336" s="4" t="s">
        <v>302</v>
      </c>
      <c r="F336" s="4" t="s">
        <v>302</v>
      </c>
    </row>
    <row r="337" spans="1:6" x14ac:dyDescent="0.25">
      <c r="A337" s="4" t="s">
        <v>256</v>
      </c>
      <c r="B337">
        <v>336</v>
      </c>
      <c r="C337" s="4" t="s">
        <v>713</v>
      </c>
      <c r="D337" s="5" t="s">
        <v>302</v>
      </c>
      <c r="E337" s="4" t="s">
        <v>302</v>
      </c>
      <c r="F337" s="4" t="s">
        <v>302</v>
      </c>
    </row>
    <row r="338" spans="1:6" x14ac:dyDescent="0.25">
      <c r="A338" s="4" t="s">
        <v>256</v>
      </c>
      <c r="B338">
        <v>337</v>
      </c>
      <c r="C338" s="4" t="s">
        <v>714</v>
      </c>
      <c r="D338" s="5" t="s">
        <v>2735</v>
      </c>
      <c r="E338" s="4" t="s">
        <v>715</v>
      </c>
      <c r="F338" s="4" t="s">
        <v>1798</v>
      </c>
    </row>
    <row r="339" spans="1:6" x14ac:dyDescent="0.25">
      <c r="A339" s="4" t="s">
        <v>256</v>
      </c>
      <c r="B339">
        <v>338</v>
      </c>
      <c r="C339" s="4" t="s">
        <v>716</v>
      </c>
      <c r="D339" s="5" t="s">
        <v>302</v>
      </c>
      <c r="E339" s="4" t="s">
        <v>302</v>
      </c>
      <c r="F339" s="4" t="s">
        <v>302</v>
      </c>
    </row>
    <row r="340" spans="1:6" x14ac:dyDescent="0.25">
      <c r="A340" s="4" t="s">
        <v>256</v>
      </c>
      <c r="B340">
        <v>339</v>
      </c>
      <c r="C340" s="4" t="s">
        <v>717</v>
      </c>
      <c r="D340" s="5" t="s">
        <v>302</v>
      </c>
      <c r="E340" s="4" t="s">
        <v>302</v>
      </c>
      <c r="F340" s="4" t="s">
        <v>302</v>
      </c>
    </row>
    <row r="341" spans="1:6" x14ac:dyDescent="0.25">
      <c r="A341" s="4" t="s">
        <v>256</v>
      </c>
      <c r="B341">
        <v>340</v>
      </c>
      <c r="C341" s="4" t="s">
        <v>718</v>
      </c>
      <c r="D341" s="5" t="s">
        <v>302</v>
      </c>
      <c r="E341" s="4" t="s">
        <v>302</v>
      </c>
      <c r="F341" s="4" t="s">
        <v>302</v>
      </c>
    </row>
    <row r="342" spans="1:6" x14ac:dyDescent="0.25">
      <c r="A342" s="4" t="s">
        <v>256</v>
      </c>
      <c r="B342">
        <v>341</v>
      </c>
      <c r="C342" s="4" t="s">
        <v>719</v>
      </c>
      <c r="D342" s="5" t="s">
        <v>302</v>
      </c>
      <c r="E342" s="4" t="s">
        <v>302</v>
      </c>
      <c r="F342" s="4" t="s">
        <v>302</v>
      </c>
    </row>
    <row r="343" spans="1:6" x14ac:dyDescent="0.25">
      <c r="A343" s="4" t="s">
        <v>256</v>
      </c>
      <c r="B343">
        <v>342</v>
      </c>
      <c r="C343" s="4" t="s">
        <v>720</v>
      </c>
      <c r="D343" s="5" t="s">
        <v>2736</v>
      </c>
      <c r="E343" s="4" t="s">
        <v>721</v>
      </c>
      <c r="F343" s="4" t="s">
        <v>1799</v>
      </c>
    </row>
    <row r="344" spans="1:6" x14ac:dyDescent="0.25">
      <c r="A344" s="4" t="s">
        <v>256</v>
      </c>
      <c r="B344">
        <v>343</v>
      </c>
      <c r="C344" s="4" t="s">
        <v>722</v>
      </c>
      <c r="D344" s="5" t="s">
        <v>302</v>
      </c>
      <c r="E344" s="4" t="s">
        <v>302</v>
      </c>
      <c r="F344" s="4" t="s">
        <v>302</v>
      </c>
    </row>
    <row r="345" spans="1:6" x14ac:dyDescent="0.25">
      <c r="A345" s="4" t="s">
        <v>256</v>
      </c>
      <c r="B345">
        <v>344</v>
      </c>
      <c r="C345" s="4" t="s">
        <v>723</v>
      </c>
      <c r="D345" s="5" t="s">
        <v>302</v>
      </c>
      <c r="E345" s="4" t="s">
        <v>302</v>
      </c>
      <c r="F345" s="4" t="s">
        <v>302</v>
      </c>
    </row>
    <row r="346" spans="1:6" x14ac:dyDescent="0.25">
      <c r="A346" s="4" t="s">
        <v>256</v>
      </c>
      <c r="B346">
        <v>345</v>
      </c>
      <c r="C346" s="4" t="s">
        <v>724</v>
      </c>
      <c r="D346" s="5" t="s">
        <v>302</v>
      </c>
      <c r="E346" s="4" t="s">
        <v>302</v>
      </c>
      <c r="F346" s="4" t="s">
        <v>302</v>
      </c>
    </row>
    <row r="347" spans="1:6" x14ac:dyDescent="0.25">
      <c r="A347" s="4" t="s">
        <v>256</v>
      </c>
      <c r="B347">
        <v>346</v>
      </c>
      <c r="C347" s="4" t="s">
        <v>725</v>
      </c>
      <c r="D347" s="5" t="s">
        <v>302</v>
      </c>
      <c r="E347" s="4" t="s">
        <v>302</v>
      </c>
      <c r="F347" s="4" t="s">
        <v>302</v>
      </c>
    </row>
    <row r="348" spans="1:6" x14ac:dyDescent="0.25">
      <c r="A348" s="4" t="s">
        <v>256</v>
      </c>
      <c r="B348">
        <v>347</v>
      </c>
      <c r="C348" s="4" t="s">
        <v>726</v>
      </c>
      <c r="D348" s="5" t="s">
        <v>302</v>
      </c>
      <c r="E348" s="4" t="s">
        <v>302</v>
      </c>
      <c r="F348" s="4" t="s">
        <v>302</v>
      </c>
    </row>
    <row r="349" spans="1:6" x14ac:dyDescent="0.25">
      <c r="A349" s="4" t="s">
        <v>256</v>
      </c>
      <c r="B349">
        <v>348</v>
      </c>
      <c r="C349" s="4" t="s">
        <v>727</v>
      </c>
      <c r="D349" s="5" t="s">
        <v>302</v>
      </c>
      <c r="E349" s="4" t="s">
        <v>302</v>
      </c>
      <c r="F349" s="4" t="s">
        <v>302</v>
      </c>
    </row>
    <row r="350" spans="1:6" x14ac:dyDescent="0.25">
      <c r="A350" s="4" t="s">
        <v>256</v>
      </c>
      <c r="B350">
        <v>349</v>
      </c>
      <c r="C350" s="4" t="s">
        <v>728</v>
      </c>
      <c r="D350" s="5" t="s">
        <v>302</v>
      </c>
      <c r="E350" s="4" t="s">
        <v>302</v>
      </c>
      <c r="F350" s="4" t="s">
        <v>302</v>
      </c>
    </row>
    <row r="351" spans="1:6" x14ac:dyDescent="0.25">
      <c r="A351" s="4" t="s">
        <v>256</v>
      </c>
      <c r="B351">
        <v>350</v>
      </c>
      <c r="C351" s="4" t="s">
        <v>729</v>
      </c>
      <c r="D351" s="5" t="s">
        <v>2737</v>
      </c>
      <c r="E351" s="4" t="s">
        <v>730</v>
      </c>
      <c r="F351" s="4" t="s">
        <v>1800</v>
      </c>
    </row>
    <row r="352" spans="1:6" x14ac:dyDescent="0.25">
      <c r="A352" s="4" t="s">
        <v>256</v>
      </c>
      <c r="B352">
        <v>351</v>
      </c>
      <c r="C352" s="4" t="s">
        <v>273</v>
      </c>
      <c r="D352" s="5" t="s">
        <v>2647</v>
      </c>
      <c r="E352" s="4" t="s">
        <v>274</v>
      </c>
      <c r="F352" s="4" t="s">
        <v>1681</v>
      </c>
    </row>
    <row r="353" spans="1:6" x14ac:dyDescent="0.25">
      <c r="A353" s="4" t="s">
        <v>256</v>
      </c>
      <c r="B353">
        <v>352</v>
      </c>
      <c r="C353" s="4" t="s">
        <v>731</v>
      </c>
      <c r="D353" s="5" t="s">
        <v>2738</v>
      </c>
      <c r="E353" s="4" t="s">
        <v>732</v>
      </c>
      <c r="F353" s="4" t="s">
        <v>1801</v>
      </c>
    </row>
    <row r="354" spans="1:6" x14ac:dyDescent="0.25">
      <c r="A354" s="4" t="s">
        <v>256</v>
      </c>
      <c r="B354">
        <v>353</v>
      </c>
      <c r="C354" s="4" t="s">
        <v>733</v>
      </c>
      <c r="D354" s="5" t="s">
        <v>2739</v>
      </c>
      <c r="E354" s="4" t="s">
        <v>734</v>
      </c>
      <c r="F354" s="4" t="s">
        <v>1802</v>
      </c>
    </row>
    <row r="355" spans="1:6" x14ac:dyDescent="0.25">
      <c r="A355" s="4" t="s">
        <v>256</v>
      </c>
      <c r="B355">
        <v>354</v>
      </c>
      <c r="C355" s="4" t="s">
        <v>735</v>
      </c>
      <c r="D355" s="5" t="s">
        <v>2740</v>
      </c>
      <c r="E355" s="4" t="s">
        <v>736</v>
      </c>
      <c r="F355" s="4" t="s">
        <v>1803</v>
      </c>
    </row>
    <row r="356" spans="1:6" x14ac:dyDescent="0.25">
      <c r="A356" s="4" t="s">
        <v>256</v>
      </c>
      <c r="B356">
        <v>355</v>
      </c>
      <c r="C356" s="4" t="s">
        <v>737</v>
      </c>
      <c r="D356" s="5" t="s">
        <v>302</v>
      </c>
      <c r="E356" s="4" t="s">
        <v>302</v>
      </c>
      <c r="F356" s="4" t="s">
        <v>302</v>
      </c>
    </row>
    <row r="357" spans="1:6" x14ac:dyDescent="0.25">
      <c r="A357" s="4" t="s">
        <v>256</v>
      </c>
      <c r="B357">
        <v>356</v>
      </c>
      <c r="C357" s="4" t="s">
        <v>738</v>
      </c>
      <c r="D357" s="5" t="s">
        <v>302</v>
      </c>
      <c r="E357" s="4" t="s">
        <v>302</v>
      </c>
      <c r="F357" s="4" t="s">
        <v>302</v>
      </c>
    </row>
    <row r="358" spans="1:6" x14ac:dyDescent="0.25">
      <c r="A358" s="4" t="s">
        <v>256</v>
      </c>
      <c r="B358">
        <v>357</v>
      </c>
      <c r="C358" s="4" t="s">
        <v>739</v>
      </c>
      <c r="D358" s="5" t="s">
        <v>302</v>
      </c>
      <c r="E358" s="4" t="s">
        <v>302</v>
      </c>
      <c r="F358" s="4" t="s">
        <v>302</v>
      </c>
    </row>
    <row r="359" spans="1:6" x14ac:dyDescent="0.25">
      <c r="A359" s="4" t="s">
        <v>256</v>
      </c>
      <c r="B359">
        <v>358</v>
      </c>
      <c r="C359" s="4" t="s">
        <v>740</v>
      </c>
      <c r="D359" s="5" t="s">
        <v>302</v>
      </c>
      <c r="E359" s="4" t="s">
        <v>302</v>
      </c>
      <c r="F359" s="4" t="s">
        <v>302</v>
      </c>
    </row>
    <row r="360" spans="1:6" x14ac:dyDescent="0.25">
      <c r="A360" s="4" t="s">
        <v>256</v>
      </c>
      <c r="B360">
        <v>359</v>
      </c>
      <c r="C360" s="4" t="s">
        <v>741</v>
      </c>
      <c r="D360" s="5" t="s">
        <v>302</v>
      </c>
      <c r="E360" s="4" t="s">
        <v>302</v>
      </c>
      <c r="F360" s="4" t="s">
        <v>302</v>
      </c>
    </row>
    <row r="361" spans="1:6" x14ac:dyDescent="0.25">
      <c r="A361" s="4" t="s">
        <v>256</v>
      </c>
      <c r="B361">
        <v>360</v>
      </c>
      <c r="C361" s="4" t="s">
        <v>742</v>
      </c>
      <c r="D361" s="5" t="s">
        <v>2741</v>
      </c>
      <c r="E361" s="4" t="s">
        <v>2308</v>
      </c>
      <c r="F361" s="4" t="s">
        <v>2309</v>
      </c>
    </row>
    <row r="362" spans="1:6" x14ac:dyDescent="0.25">
      <c r="A362" s="4" t="s">
        <v>256</v>
      </c>
      <c r="B362">
        <v>361</v>
      </c>
      <c r="C362" s="4" t="s">
        <v>743</v>
      </c>
      <c r="D362" s="5" t="s">
        <v>2742</v>
      </c>
      <c r="E362" s="4" t="s">
        <v>744</v>
      </c>
      <c r="F362" s="4" t="s">
        <v>1804</v>
      </c>
    </row>
    <row r="363" spans="1:6" x14ac:dyDescent="0.25">
      <c r="A363" s="4" t="s">
        <v>256</v>
      </c>
      <c r="B363">
        <v>362</v>
      </c>
      <c r="C363" s="4" t="s">
        <v>745</v>
      </c>
      <c r="D363" s="5" t="s">
        <v>317</v>
      </c>
      <c r="E363" s="4" t="s">
        <v>746</v>
      </c>
      <c r="F363" s="4" t="s">
        <v>1805</v>
      </c>
    </row>
    <row r="364" spans="1:6" x14ac:dyDescent="0.25">
      <c r="A364" s="4" t="s">
        <v>256</v>
      </c>
      <c r="B364">
        <v>363</v>
      </c>
      <c r="C364" s="4" t="s">
        <v>747</v>
      </c>
      <c r="D364" s="5" t="s">
        <v>302</v>
      </c>
      <c r="E364" s="4" t="s">
        <v>302</v>
      </c>
      <c r="F364" s="4" t="s">
        <v>302</v>
      </c>
    </row>
    <row r="365" spans="1:6" x14ac:dyDescent="0.25">
      <c r="A365" s="4" t="s">
        <v>256</v>
      </c>
      <c r="B365">
        <v>364</v>
      </c>
      <c r="C365" s="4" t="s">
        <v>748</v>
      </c>
      <c r="D365" s="5" t="s">
        <v>2743</v>
      </c>
      <c r="E365" s="4" t="s">
        <v>749</v>
      </c>
      <c r="F365" s="4" t="s">
        <v>1806</v>
      </c>
    </row>
    <row r="366" spans="1:6" x14ac:dyDescent="0.25">
      <c r="A366" s="4" t="s">
        <v>256</v>
      </c>
      <c r="B366">
        <v>365</v>
      </c>
      <c r="C366" s="4" t="s">
        <v>750</v>
      </c>
      <c r="D366" s="5" t="s">
        <v>302</v>
      </c>
      <c r="E366" s="4" t="s">
        <v>302</v>
      </c>
      <c r="F366" s="4" t="s">
        <v>302</v>
      </c>
    </row>
    <row r="367" spans="1:6" x14ac:dyDescent="0.25">
      <c r="A367" s="4" t="s">
        <v>256</v>
      </c>
      <c r="B367">
        <v>366</v>
      </c>
      <c r="C367" s="4" t="s">
        <v>751</v>
      </c>
      <c r="D367" s="5" t="s">
        <v>302</v>
      </c>
      <c r="E367" s="4" t="s">
        <v>302</v>
      </c>
      <c r="F367" s="4" t="s">
        <v>302</v>
      </c>
    </row>
    <row r="368" spans="1:6" x14ac:dyDescent="0.25">
      <c r="A368" s="4" t="s">
        <v>256</v>
      </c>
      <c r="B368">
        <v>367</v>
      </c>
      <c r="C368" s="4" t="s">
        <v>752</v>
      </c>
      <c r="D368" s="5" t="s">
        <v>2744</v>
      </c>
      <c r="E368" s="4" t="s">
        <v>753</v>
      </c>
      <c r="F368" s="4" t="s">
        <v>1807</v>
      </c>
    </row>
    <row r="369" spans="1:6" x14ac:dyDescent="0.25">
      <c r="A369" s="4" t="s">
        <v>256</v>
      </c>
      <c r="B369">
        <v>368</v>
      </c>
      <c r="C369" s="4" t="s">
        <v>754</v>
      </c>
      <c r="D369" s="5" t="s">
        <v>2745</v>
      </c>
      <c r="E369" s="4" t="s">
        <v>755</v>
      </c>
      <c r="F369" s="4" t="s">
        <v>1808</v>
      </c>
    </row>
    <row r="370" spans="1:6" x14ac:dyDescent="0.25">
      <c r="A370" s="4" t="s">
        <v>256</v>
      </c>
      <c r="B370">
        <v>369</v>
      </c>
      <c r="C370" s="4" t="s">
        <v>756</v>
      </c>
      <c r="D370" s="5" t="s">
        <v>302</v>
      </c>
      <c r="E370" s="4" t="s">
        <v>302</v>
      </c>
      <c r="F370" s="4" t="s">
        <v>302</v>
      </c>
    </row>
    <row r="371" spans="1:6" x14ac:dyDescent="0.25">
      <c r="A371" s="4" t="s">
        <v>256</v>
      </c>
      <c r="B371">
        <v>370</v>
      </c>
      <c r="C371" s="4" t="s">
        <v>757</v>
      </c>
      <c r="D371" s="5" t="s">
        <v>302</v>
      </c>
      <c r="E371" s="4" t="s">
        <v>302</v>
      </c>
      <c r="F371" s="4" t="s">
        <v>302</v>
      </c>
    </row>
    <row r="372" spans="1:6" x14ac:dyDescent="0.25">
      <c r="A372" s="4" t="s">
        <v>256</v>
      </c>
      <c r="B372">
        <v>371</v>
      </c>
      <c r="C372" s="4" t="s">
        <v>758</v>
      </c>
      <c r="D372" s="5" t="s">
        <v>302</v>
      </c>
      <c r="E372" s="4" t="s">
        <v>302</v>
      </c>
      <c r="F372" s="4" t="s">
        <v>302</v>
      </c>
    </row>
    <row r="373" spans="1:6" x14ac:dyDescent="0.25">
      <c r="A373" s="4" t="s">
        <v>256</v>
      </c>
      <c r="B373">
        <v>372</v>
      </c>
      <c r="C373" s="4" t="s">
        <v>759</v>
      </c>
      <c r="D373" s="5" t="s">
        <v>2622</v>
      </c>
      <c r="E373" s="4" t="s">
        <v>760</v>
      </c>
      <c r="F373" s="4" t="s">
        <v>1809</v>
      </c>
    </row>
    <row r="374" spans="1:6" x14ac:dyDescent="0.25">
      <c r="A374" s="4" t="s">
        <v>256</v>
      </c>
      <c r="B374">
        <v>373</v>
      </c>
      <c r="C374" s="4" t="s">
        <v>761</v>
      </c>
      <c r="D374" s="5" t="s">
        <v>2746</v>
      </c>
      <c r="E374" s="4" t="s">
        <v>762</v>
      </c>
      <c r="F374" s="4" t="s">
        <v>1810</v>
      </c>
    </row>
    <row r="375" spans="1:6" x14ac:dyDescent="0.25">
      <c r="A375" s="4" t="s">
        <v>256</v>
      </c>
      <c r="B375">
        <v>374</v>
      </c>
      <c r="C375" s="4" t="s">
        <v>763</v>
      </c>
      <c r="D375" s="5" t="s">
        <v>2747</v>
      </c>
      <c r="E375" s="4" t="s">
        <v>764</v>
      </c>
      <c r="F375" s="4" t="s">
        <v>1811</v>
      </c>
    </row>
    <row r="376" spans="1:6" x14ac:dyDescent="0.25">
      <c r="A376" s="4" t="s">
        <v>256</v>
      </c>
      <c r="B376">
        <v>375</v>
      </c>
      <c r="C376" s="4" t="s">
        <v>765</v>
      </c>
      <c r="D376" s="5" t="s">
        <v>302</v>
      </c>
      <c r="E376" s="4" t="s">
        <v>302</v>
      </c>
      <c r="F376" s="4" t="s">
        <v>302</v>
      </c>
    </row>
    <row r="377" spans="1:6" x14ac:dyDescent="0.25">
      <c r="A377" s="4" t="s">
        <v>256</v>
      </c>
      <c r="B377">
        <v>376</v>
      </c>
      <c r="C377" s="4" t="s">
        <v>766</v>
      </c>
      <c r="D377" s="5" t="s">
        <v>2748</v>
      </c>
      <c r="E377" s="4" t="s">
        <v>2277</v>
      </c>
      <c r="F377" s="4" t="s">
        <v>2278</v>
      </c>
    </row>
    <row r="378" spans="1:6" x14ac:dyDescent="0.25">
      <c r="A378" s="4" t="s">
        <v>256</v>
      </c>
      <c r="B378">
        <v>377</v>
      </c>
      <c r="C378" s="4" t="s">
        <v>767</v>
      </c>
      <c r="D378" s="5" t="s">
        <v>2749</v>
      </c>
      <c r="E378" s="4" t="s">
        <v>2279</v>
      </c>
      <c r="F378" s="4" t="s">
        <v>2280</v>
      </c>
    </row>
    <row r="379" spans="1:6" x14ac:dyDescent="0.25">
      <c r="A379" s="4" t="s">
        <v>256</v>
      </c>
      <c r="B379">
        <v>378</v>
      </c>
      <c r="C379" s="4" t="s">
        <v>768</v>
      </c>
      <c r="D379" s="5" t="s">
        <v>302</v>
      </c>
      <c r="E379" s="4" t="s">
        <v>302</v>
      </c>
      <c r="F379" s="4" t="s">
        <v>302</v>
      </c>
    </row>
    <row r="380" spans="1:6" x14ac:dyDescent="0.25">
      <c r="A380" s="4" t="s">
        <v>256</v>
      </c>
      <c r="B380">
        <v>379</v>
      </c>
      <c r="C380" s="4" t="s">
        <v>769</v>
      </c>
      <c r="D380" s="5" t="s">
        <v>2585</v>
      </c>
      <c r="E380" s="4" t="s">
        <v>770</v>
      </c>
      <c r="F380" s="4" t="s">
        <v>1812</v>
      </c>
    </row>
    <row r="381" spans="1:6" x14ac:dyDescent="0.25">
      <c r="A381" s="4" t="s">
        <v>256</v>
      </c>
      <c r="B381">
        <v>380</v>
      </c>
      <c r="C381" s="4" t="s">
        <v>771</v>
      </c>
      <c r="D381" s="5" t="s">
        <v>2750</v>
      </c>
      <c r="E381" s="4" t="s">
        <v>772</v>
      </c>
      <c r="F381" s="4" t="s">
        <v>1813</v>
      </c>
    </row>
    <row r="382" spans="1:6" x14ac:dyDescent="0.25">
      <c r="A382" s="4" t="s">
        <v>256</v>
      </c>
      <c r="B382">
        <v>381</v>
      </c>
      <c r="C382" s="4" t="s">
        <v>773</v>
      </c>
      <c r="D382" s="5" t="s">
        <v>2751</v>
      </c>
      <c r="E382" s="4" t="s">
        <v>774</v>
      </c>
      <c r="F382" s="4" t="s">
        <v>1814</v>
      </c>
    </row>
    <row r="383" spans="1:6" x14ac:dyDescent="0.25">
      <c r="A383" s="4" t="s">
        <v>256</v>
      </c>
      <c r="B383">
        <v>382</v>
      </c>
      <c r="C383" s="4" t="s">
        <v>775</v>
      </c>
      <c r="D383" s="5" t="s">
        <v>302</v>
      </c>
      <c r="E383" s="4" t="s">
        <v>302</v>
      </c>
      <c r="F383" s="4" t="s">
        <v>302</v>
      </c>
    </row>
    <row r="384" spans="1:6" x14ac:dyDescent="0.25">
      <c r="A384" s="4" t="s">
        <v>256</v>
      </c>
      <c r="B384">
        <v>383</v>
      </c>
      <c r="C384" s="4" t="s">
        <v>776</v>
      </c>
      <c r="D384" s="5" t="s">
        <v>302</v>
      </c>
      <c r="E384" s="4" t="s">
        <v>302</v>
      </c>
      <c r="F384" s="4" t="s">
        <v>302</v>
      </c>
    </row>
    <row r="385" spans="1:6" x14ac:dyDescent="0.25">
      <c r="A385" s="4" t="s">
        <v>256</v>
      </c>
      <c r="B385">
        <v>384</v>
      </c>
      <c r="C385" s="4" t="s">
        <v>289</v>
      </c>
      <c r="D385" s="5" t="s">
        <v>2653</v>
      </c>
      <c r="E385" s="4" t="s">
        <v>290</v>
      </c>
      <c r="F385" s="4" t="s">
        <v>1689</v>
      </c>
    </row>
    <row r="386" spans="1:6" x14ac:dyDescent="0.25">
      <c r="A386" s="4" t="s">
        <v>256</v>
      </c>
      <c r="B386">
        <v>385</v>
      </c>
      <c r="C386" s="4" t="s">
        <v>777</v>
      </c>
      <c r="D386" s="5" t="s">
        <v>2752</v>
      </c>
      <c r="E386" s="4" t="s">
        <v>778</v>
      </c>
      <c r="F386" s="4" t="s">
        <v>1815</v>
      </c>
    </row>
    <row r="387" spans="1:6" x14ac:dyDescent="0.25">
      <c r="A387" s="4" t="s">
        <v>256</v>
      </c>
      <c r="B387">
        <v>386</v>
      </c>
      <c r="C387" s="4" t="s">
        <v>779</v>
      </c>
      <c r="D387" s="5" t="s">
        <v>2551</v>
      </c>
      <c r="E387" s="4" t="s">
        <v>780</v>
      </c>
      <c r="F387" s="4" t="s">
        <v>1816</v>
      </c>
    </row>
    <row r="388" spans="1:6" x14ac:dyDescent="0.25">
      <c r="A388" s="4" t="s">
        <v>256</v>
      </c>
      <c r="B388">
        <v>387</v>
      </c>
      <c r="C388" s="4" t="s">
        <v>781</v>
      </c>
      <c r="D388" s="5" t="s">
        <v>317</v>
      </c>
      <c r="E388" s="4" t="s">
        <v>2310</v>
      </c>
      <c r="F388" s="4" t="s">
        <v>2311</v>
      </c>
    </row>
    <row r="389" spans="1:6" x14ac:dyDescent="0.25">
      <c r="A389" s="4" t="s">
        <v>256</v>
      </c>
      <c r="B389">
        <v>388</v>
      </c>
      <c r="C389" s="4" t="s">
        <v>291</v>
      </c>
      <c r="D389" s="5" t="s">
        <v>2654</v>
      </c>
      <c r="E389" s="4" t="s">
        <v>292</v>
      </c>
      <c r="F389" s="4" t="s">
        <v>1690</v>
      </c>
    </row>
    <row r="390" spans="1:6" x14ac:dyDescent="0.25">
      <c r="A390" s="4" t="s">
        <v>256</v>
      </c>
      <c r="B390">
        <v>389</v>
      </c>
      <c r="C390" s="4" t="s">
        <v>782</v>
      </c>
      <c r="D390" s="5" t="s">
        <v>302</v>
      </c>
      <c r="E390" s="4" t="s">
        <v>302</v>
      </c>
      <c r="F390" s="4" t="s">
        <v>302</v>
      </c>
    </row>
    <row r="391" spans="1:6" x14ac:dyDescent="0.25">
      <c r="A391" s="4" t="s">
        <v>256</v>
      </c>
      <c r="B391">
        <v>390</v>
      </c>
      <c r="C391" s="4" t="s">
        <v>783</v>
      </c>
      <c r="D391" s="5" t="s">
        <v>302</v>
      </c>
      <c r="E391" s="4" t="s">
        <v>302</v>
      </c>
      <c r="F391" s="4" t="s">
        <v>302</v>
      </c>
    </row>
    <row r="392" spans="1:6" x14ac:dyDescent="0.25">
      <c r="A392" s="4" t="s">
        <v>256</v>
      </c>
      <c r="B392">
        <v>391</v>
      </c>
      <c r="C392" s="4" t="s">
        <v>784</v>
      </c>
      <c r="D392" s="5" t="s">
        <v>317</v>
      </c>
      <c r="E392" s="4" t="s">
        <v>785</v>
      </c>
      <c r="F392" s="4" t="s">
        <v>1817</v>
      </c>
    </row>
    <row r="393" spans="1:6" x14ac:dyDescent="0.25">
      <c r="A393" s="4" t="s">
        <v>256</v>
      </c>
      <c r="B393">
        <v>392</v>
      </c>
      <c r="C393" s="4" t="s">
        <v>786</v>
      </c>
      <c r="D393" s="5" t="s">
        <v>302</v>
      </c>
      <c r="E393" s="4" t="s">
        <v>302</v>
      </c>
      <c r="F393" s="4" t="s">
        <v>302</v>
      </c>
    </row>
    <row r="394" spans="1:6" x14ac:dyDescent="0.25">
      <c r="A394" s="4" t="s">
        <v>256</v>
      </c>
      <c r="B394">
        <v>393</v>
      </c>
      <c r="C394" s="4" t="s">
        <v>787</v>
      </c>
      <c r="D394" s="5" t="s">
        <v>302</v>
      </c>
      <c r="E394" s="4" t="s">
        <v>302</v>
      </c>
      <c r="F394" s="4" t="s">
        <v>302</v>
      </c>
    </row>
    <row r="395" spans="1:6" x14ac:dyDescent="0.25">
      <c r="A395" s="4" t="s">
        <v>256</v>
      </c>
      <c r="B395">
        <v>394</v>
      </c>
      <c r="C395" s="4" t="s">
        <v>788</v>
      </c>
      <c r="D395" s="5" t="s">
        <v>2562</v>
      </c>
      <c r="E395" s="4" t="s">
        <v>789</v>
      </c>
      <c r="F395" s="4" t="s">
        <v>1818</v>
      </c>
    </row>
    <row r="396" spans="1:6" x14ac:dyDescent="0.25">
      <c r="A396" s="4" t="s">
        <v>256</v>
      </c>
      <c r="B396">
        <v>395</v>
      </c>
      <c r="C396" s="4" t="s">
        <v>790</v>
      </c>
      <c r="D396" s="5" t="s">
        <v>2552</v>
      </c>
      <c r="E396" s="4" t="s">
        <v>791</v>
      </c>
      <c r="F396" s="4" t="s">
        <v>1819</v>
      </c>
    </row>
    <row r="397" spans="1:6" x14ac:dyDescent="0.25">
      <c r="A397" s="4" t="s">
        <v>256</v>
      </c>
      <c r="B397">
        <v>396</v>
      </c>
      <c r="C397" s="4" t="s">
        <v>792</v>
      </c>
      <c r="D397" s="5" t="s">
        <v>2665</v>
      </c>
      <c r="E397" s="4" t="s">
        <v>793</v>
      </c>
      <c r="F397" s="4" t="s">
        <v>1820</v>
      </c>
    </row>
    <row r="398" spans="1:6" x14ac:dyDescent="0.25">
      <c r="A398" s="4" t="s">
        <v>256</v>
      </c>
      <c r="B398">
        <v>397</v>
      </c>
      <c r="C398" s="4" t="s">
        <v>794</v>
      </c>
      <c r="D398" s="5" t="s">
        <v>2753</v>
      </c>
      <c r="E398" s="4" t="s">
        <v>795</v>
      </c>
      <c r="F398" s="4" t="s">
        <v>1821</v>
      </c>
    </row>
    <row r="399" spans="1:6" x14ac:dyDescent="0.25">
      <c r="A399" s="4" t="s">
        <v>256</v>
      </c>
      <c r="B399">
        <v>398</v>
      </c>
      <c r="C399" s="4" t="s">
        <v>796</v>
      </c>
      <c r="D399" s="5" t="s">
        <v>2754</v>
      </c>
      <c r="E399" s="4" t="s">
        <v>797</v>
      </c>
      <c r="F399" s="4" t="s">
        <v>1822</v>
      </c>
    </row>
    <row r="400" spans="1:6" x14ac:dyDescent="0.25">
      <c r="A400" s="4" t="s">
        <v>256</v>
      </c>
      <c r="B400">
        <v>399</v>
      </c>
      <c r="C400" s="4" t="s">
        <v>798</v>
      </c>
      <c r="D400" s="5" t="s">
        <v>2755</v>
      </c>
      <c r="E400" s="4" t="s">
        <v>799</v>
      </c>
      <c r="F400" s="4" t="s">
        <v>1823</v>
      </c>
    </row>
    <row r="401" spans="1:6" x14ac:dyDescent="0.25">
      <c r="A401" s="4" t="s">
        <v>256</v>
      </c>
      <c r="B401">
        <v>400</v>
      </c>
      <c r="C401" s="4" t="s">
        <v>800</v>
      </c>
      <c r="D401" s="5" t="s">
        <v>2756</v>
      </c>
      <c r="E401" s="4" t="s">
        <v>801</v>
      </c>
      <c r="F401" s="4" t="s">
        <v>1824</v>
      </c>
    </row>
    <row r="402" spans="1:6" x14ac:dyDescent="0.25">
      <c r="A402" s="4" t="s">
        <v>256</v>
      </c>
      <c r="B402">
        <v>401</v>
      </c>
      <c r="C402" s="4" t="s">
        <v>802</v>
      </c>
      <c r="D402" s="5" t="s">
        <v>2582</v>
      </c>
      <c r="E402" s="4" t="s">
        <v>803</v>
      </c>
      <c r="F402" s="4" t="s">
        <v>1825</v>
      </c>
    </row>
    <row r="403" spans="1:6" x14ac:dyDescent="0.25">
      <c r="A403" s="4" t="s">
        <v>256</v>
      </c>
      <c r="B403">
        <v>402</v>
      </c>
      <c r="C403" s="4" t="s">
        <v>804</v>
      </c>
      <c r="D403" s="5" t="s">
        <v>2583</v>
      </c>
      <c r="E403" s="4" t="s">
        <v>805</v>
      </c>
      <c r="F403" s="4" t="s">
        <v>1826</v>
      </c>
    </row>
    <row r="404" spans="1:6" x14ac:dyDescent="0.25">
      <c r="A404" s="4" t="s">
        <v>256</v>
      </c>
      <c r="B404">
        <v>403</v>
      </c>
      <c r="C404" s="4" t="s">
        <v>806</v>
      </c>
      <c r="D404" s="5" t="s">
        <v>2699</v>
      </c>
      <c r="E404" s="4" t="s">
        <v>807</v>
      </c>
      <c r="F404" s="4" t="s">
        <v>1827</v>
      </c>
    </row>
    <row r="405" spans="1:6" x14ac:dyDescent="0.25">
      <c r="A405" s="4" t="s">
        <v>256</v>
      </c>
      <c r="B405">
        <v>404</v>
      </c>
      <c r="C405" s="4" t="s">
        <v>808</v>
      </c>
      <c r="D405" s="5" t="s">
        <v>302</v>
      </c>
      <c r="E405" s="4" t="s">
        <v>302</v>
      </c>
      <c r="F405" s="4" t="s">
        <v>302</v>
      </c>
    </row>
    <row r="406" spans="1:6" x14ac:dyDescent="0.25">
      <c r="A406" s="4" t="s">
        <v>256</v>
      </c>
      <c r="B406">
        <v>405</v>
      </c>
      <c r="C406" s="4" t="s">
        <v>809</v>
      </c>
      <c r="D406" s="5" t="s">
        <v>302</v>
      </c>
      <c r="E406" s="4" t="s">
        <v>302</v>
      </c>
      <c r="F406" s="4" t="s">
        <v>302</v>
      </c>
    </row>
    <row r="407" spans="1:6" x14ac:dyDescent="0.25">
      <c r="A407" s="4" t="s">
        <v>256</v>
      </c>
      <c r="B407">
        <v>406</v>
      </c>
      <c r="C407" s="4" t="s">
        <v>810</v>
      </c>
      <c r="D407" s="5" t="s">
        <v>2581</v>
      </c>
      <c r="E407" s="4" t="s">
        <v>811</v>
      </c>
      <c r="F407" s="4" t="s">
        <v>1828</v>
      </c>
    </row>
    <row r="408" spans="1:6" x14ac:dyDescent="0.25">
      <c r="A408" s="4" t="s">
        <v>256</v>
      </c>
      <c r="B408">
        <v>407</v>
      </c>
      <c r="C408" s="4" t="s">
        <v>812</v>
      </c>
      <c r="D408" s="5" t="s">
        <v>2757</v>
      </c>
      <c r="E408" s="4" t="s">
        <v>813</v>
      </c>
      <c r="F408" s="4" t="s">
        <v>1829</v>
      </c>
    </row>
    <row r="409" spans="1:6" x14ac:dyDescent="0.25">
      <c r="A409" s="4" t="s">
        <v>256</v>
      </c>
      <c r="B409">
        <v>408</v>
      </c>
      <c r="C409" s="4" t="s">
        <v>814</v>
      </c>
      <c r="D409" s="5" t="s">
        <v>1639</v>
      </c>
      <c r="E409" s="4" t="s">
        <v>2281</v>
      </c>
      <c r="F409" s="4" t="s">
        <v>2282</v>
      </c>
    </row>
    <row r="410" spans="1:6" x14ac:dyDescent="0.25">
      <c r="A410" s="4" t="s">
        <v>256</v>
      </c>
      <c r="B410">
        <v>409</v>
      </c>
      <c r="C410" s="4" t="s">
        <v>815</v>
      </c>
      <c r="D410" s="5" t="s">
        <v>302</v>
      </c>
      <c r="E410" s="4" t="s">
        <v>302</v>
      </c>
      <c r="F410" s="4" t="s">
        <v>302</v>
      </c>
    </row>
    <row r="411" spans="1:6" x14ac:dyDescent="0.25">
      <c r="A411" s="4" t="s">
        <v>256</v>
      </c>
      <c r="B411">
        <v>410</v>
      </c>
      <c r="C411" s="4" t="s">
        <v>816</v>
      </c>
      <c r="D411" s="5" t="s">
        <v>2758</v>
      </c>
      <c r="E411" s="4" t="s">
        <v>817</v>
      </c>
      <c r="F411" s="4" t="s">
        <v>1830</v>
      </c>
    </row>
    <row r="412" spans="1:6" x14ac:dyDescent="0.25">
      <c r="A412" s="4" t="s">
        <v>256</v>
      </c>
      <c r="B412">
        <v>411</v>
      </c>
      <c r="C412" s="4" t="s">
        <v>818</v>
      </c>
      <c r="D412" s="5" t="s">
        <v>2759</v>
      </c>
      <c r="E412" s="4" t="s">
        <v>1644</v>
      </c>
      <c r="F412" s="4" t="s">
        <v>1831</v>
      </c>
    </row>
    <row r="413" spans="1:6" x14ac:dyDescent="0.25">
      <c r="A413" s="4" t="s">
        <v>256</v>
      </c>
      <c r="B413">
        <v>412</v>
      </c>
      <c r="C413" s="4" t="s">
        <v>819</v>
      </c>
      <c r="D413" s="5" t="s">
        <v>302</v>
      </c>
      <c r="E413" s="4" t="s">
        <v>302</v>
      </c>
      <c r="F413" s="4" t="s">
        <v>302</v>
      </c>
    </row>
    <row r="414" spans="1:6" x14ac:dyDescent="0.25">
      <c r="A414" s="4" t="s">
        <v>256</v>
      </c>
      <c r="B414">
        <v>413</v>
      </c>
      <c r="C414" s="4" t="s">
        <v>820</v>
      </c>
      <c r="D414" s="5" t="s">
        <v>302</v>
      </c>
      <c r="E414" s="4" t="s">
        <v>302</v>
      </c>
      <c r="F414" s="4" t="s">
        <v>302</v>
      </c>
    </row>
    <row r="415" spans="1:6" x14ac:dyDescent="0.25">
      <c r="A415" s="4" t="s">
        <v>256</v>
      </c>
      <c r="B415">
        <v>414</v>
      </c>
      <c r="C415" s="4" t="s">
        <v>821</v>
      </c>
      <c r="D415" s="5" t="s">
        <v>2760</v>
      </c>
      <c r="E415" s="4" t="s">
        <v>822</v>
      </c>
      <c r="F415" s="4" t="s">
        <v>1832</v>
      </c>
    </row>
    <row r="416" spans="1:6" x14ac:dyDescent="0.25">
      <c r="A416" s="4" t="s">
        <v>256</v>
      </c>
      <c r="B416">
        <v>415</v>
      </c>
      <c r="C416" s="4" t="s">
        <v>823</v>
      </c>
      <c r="D416" s="5" t="s">
        <v>2761</v>
      </c>
      <c r="E416" s="4" t="s">
        <v>2283</v>
      </c>
      <c r="F416" s="4" t="s">
        <v>2284</v>
      </c>
    </row>
    <row r="417" spans="1:6" x14ac:dyDescent="0.25">
      <c r="A417" s="4" t="s">
        <v>256</v>
      </c>
      <c r="B417">
        <v>416</v>
      </c>
      <c r="C417" s="4" t="s">
        <v>264</v>
      </c>
      <c r="D417" s="5" t="s">
        <v>2642</v>
      </c>
      <c r="E417" s="4" t="s">
        <v>265</v>
      </c>
      <c r="F417" s="4" t="s">
        <v>1677</v>
      </c>
    </row>
    <row r="418" spans="1:6" x14ac:dyDescent="0.25">
      <c r="A418" s="4" t="s">
        <v>256</v>
      </c>
      <c r="B418">
        <v>417</v>
      </c>
      <c r="C418" s="4" t="s">
        <v>824</v>
      </c>
      <c r="D418" s="5" t="s">
        <v>2762</v>
      </c>
      <c r="E418" s="4" t="s">
        <v>825</v>
      </c>
      <c r="F418" s="4" t="s">
        <v>1833</v>
      </c>
    </row>
    <row r="419" spans="1:6" x14ac:dyDescent="0.25">
      <c r="A419" s="4" t="s">
        <v>256</v>
      </c>
      <c r="B419">
        <v>418</v>
      </c>
      <c r="C419" s="4" t="s">
        <v>826</v>
      </c>
      <c r="D419" s="5" t="s">
        <v>302</v>
      </c>
      <c r="E419" s="4" t="s">
        <v>302</v>
      </c>
      <c r="F419" s="4" t="s">
        <v>302</v>
      </c>
    </row>
    <row r="420" spans="1:6" x14ac:dyDescent="0.25">
      <c r="A420" s="4" t="s">
        <v>256</v>
      </c>
      <c r="B420">
        <v>419</v>
      </c>
      <c r="C420" s="4" t="s">
        <v>827</v>
      </c>
      <c r="D420" s="5" t="s">
        <v>2763</v>
      </c>
      <c r="E420" s="4" t="s">
        <v>828</v>
      </c>
      <c r="F420" s="4" t="s">
        <v>1834</v>
      </c>
    </row>
    <row r="421" spans="1:6" x14ac:dyDescent="0.25">
      <c r="A421" s="4" t="s">
        <v>256</v>
      </c>
      <c r="B421">
        <v>420</v>
      </c>
      <c r="C421" s="4" t="s">
        <v>266</v>
      </c>
      <c r="D421" s="5" t="s">
        <v>2643</v>
      </c>
      <c r="E421" s="4" t="s">
        <v>2275</v>
      </c>
      <c r="F421" s="4" t="s">
        <v>2276</v>
      </c>
    </row>
    <row r="422" spans="1:6" x14ac:dyDescent="0.25">
      <c r="A422" s="4" t="s">
        <v>256</v>
      </c>
      <c r="B422">
        <v>421</v>
      </c>
      <c r="C422" s="4" t="s">
        <v>829</v>
      </c>
      <c r="D422" s="5" t="s">
        <v>2764</v>
      </c>
      <c r="E422" s="4" t="s">
        <v>830</v>
      </c>
      <c r="F422" s="4" t="s">
        <v>1835</v>
      </c>
    </row>
    <row r="423" spans="1:6" x14ac:dyDescent="0.25">
      <c r="A423" s="4" t="s">
        <v>256</v>
      </c>
      <c r="B423">
        <v>422</v>
      </c>
      <c r="C423" s="4" t="s">
        <v>831</v>
      </c>
      <c r="D423" s="5" t="s">
        <v>2765</v>
      </c>
      <c r="E423" s="4" t="s">
        <v>832</v>
      </c>
      <c r="F423" s="4" t="s">
        <v>1836</v>
      </c>
    </row>
    <row r="424" spans="1:6" x14ac:dyDescent="0.25">
      <c r="A424" s="4" t="s">
        <v>256</v>
      </c>
      <c r="B424">
        <v>423</v>
      </c>
      <c r="C424" s="4" t="s">
        <v>833</v>
      </c>
      <c r="D424" s="5" t="s">
        <v>2766</v>
      </c>
      <c r="E424" s="4" t="s">
        <v>834</v>
      </c>
      <c r="F424" s="4" t="s">
        <v>1837</v>
      </c>
    </row>
    <row r="425" spans="1:6" x14ac:dyDescent="0.25">
      <c r="A425" s="4" t="s">
        <v>256</v>
      </c>
      <c r="B425">
        <v>424</v>
      </c>
      <c r="C425" s="4" t="s">
        <v>835</v>
      </c>
      <c r="D425" s="5" t="s">
        <v>2767</v>
      </c>
      <c r="E425" s="4" t="s">
        <v>836</v>
      </c>
      <c r="F425" s="4" t="s">
        <v>1838</v>
      </c>
    </row>
    <row r="426" spans="1:6" x14ac:dyDescent="0.25">
      <c r="A426" s="4" t="s">
        <v>256</v>
      </c>
      <c r="B426">
        <v>425</v>
      </c>
      <c r="C426" s="4" t="s">
        <v>837</v>
      </c>
      <c r="D426" s="5" t="s">
        <v>302</v>
      </c>
      <c r="E426" s="4" t="s">
        <v>302</v>
      </c>
      <c r="F426" s="4" t="s">
        <v>302</v>
      </c>
    </row>
    <row r="427" spans="1:6" x14ac:dyDescent="0.25">
      <c r="A427" s="4" t="s">
        <v>256</v>
      </c>
      <c r="B427">
        <v>426</v>
      </c>
      <c r="C427" s="4" t="s">
        <v>838</v>
      </c>
      <c r="D427" s="5" t="s">
        <v>2768</v>
      </c>
      <c r="E427" s="4" t="s">
        <v>839</v>
      </c>
      <c r="F427" s="4" t="s">
        <v>1839</v>
      </c>
    </row>
    <row r="428" spans="1:6" x14ac:dyDescent="0.25">
      <c r="A428" s="4" t="s">
        <v>256</v>
      </c>
      <c r="B428">
        <v>427</v>
      </c>
      <c r="C428" s="4" t="s">
        <v>840</v>
      </c>
      <c r="D428" s="5" t="s">
        <v>2757</v>
      </c>
      <c r="E428" s="4" t="s">
        <v>841</v>
      </c>
      <c r="F428" s="4" t="s">
        <v>1840</v>
      </c>
    </row>
    <row r="429" spans="1:6" x14ac:dyDescent="0.25">
      <c r="A429" s="4" t="s">
        <v>256</v>
      </c>
      <c r="B429">
        <v>428</v>
      </c>
      <c r="C429" s="4" t="s">
        <v>842</v>
      </c>
      <c r="D429" s="5" t="s">
        <v>302</v>
      </c>
      <c r="E429" s="4" t="s">
        <v>302</v>
      </c>
      <c r="F429" s="4" t="s">
        <v>302</v>
      </c>
    </row>
    <row r="430" spans="1:6" x14ac:dyDescent="0.25">
      <c r="A430" s="4" t="s">
        <v>256</v>
      </c>
      <c r="B430">
        <v>429</v>
      </c>
      <c r="C430" s="4" t="s">
        <v>843</v>
      </c>
      <c r="D430" s="5" t="s">
        <v>2769</v>
      </c>
      <c r="E430" s="4" t="s">
        <v>844</v>
      </c>
      <c r="F430" s="4" t="s">
        <v>1841</v>
      </c>
    </row>
    <row r="431" spans="1:6" x14ac:dyDescent="0.25">
      <c r="A431" s="4" t="s">
        <v>256</v>
      </c>
      <c r="B431">
        <v>430</v>
      </c>
      <c r="C431" s="4" t="s">
        <v>845</v>
      </c>
      <c r="D431" s="5" t="s">
        <v>2770</v>
      </c>
      <c r="E431" s="4" t="s">
        <v>846</v>
      </c>
      <c r="F431" s="4" t="s">
        <v>1842</v>
      </c>
    </row>
    <row r="432" spans="1:6" x14ac:dyDescent="0.25">
      <c r="A432" s="4" t="s">
        <v>256</v>
      </c>
      <c r="B432">
        <v>431</v>
      </c>
      <c r="C432" s="4" t="s">
        <v>847</v>
      </c>
      <c r="D432" s="5" t="s">
        <v>302</v>
      </c>
      <c r="E432" s="4" t="s">
        <v>302</v>
      </c>
      <c r="F432" s="4" t="s">
        <v>302</v>
      </c>
    </row>
    <row r="433" spans="1:6" x14ac:dyDescent="0.25">
      <c r="A433" s="4" t="s">
        <v>256</v>
      </c>
      <c r="B433">
        <v>432</v>
      </c>
      <c r="C433" s="4" t="s">
        <v>848</v>
      </c>
      <c r="D433" s="5" t="s">
        <v>2771</v>
      </c>
      <c r="E433" s="4" t="s">
        <v>849</v>
      </c>
      <c r="F433" s="4" t="s">
        <v>1843</v>
      </c>
    </row>
    <row r="434" spans="1:6" x14ac:dyDescent="0.25">
      <c r="A434" s="4" t="s">
        <v>256</v>
      </c>
      <c r="B434">
        <v>433</v>
      </c>
      <c r="C434" s="4" t="s">
        <v>850</v>
      </c>
      <c r="D434" s="5" t="s">
        <v>2772</v>
      </c>
      <c r="E434" s="4" t="s">
        <v>851</v>
      </c>
      <c r="F434" s="4" t="s">
        <v>1844</v>
      </c>
    </row>
    <row r="435" spans="1:6" x14ac:dyDescent="0.25">
      <c r="A435" s="4" t="s">
        <v>256</v>
      </c>
      <c r="B435">
        <v>434</v>
      </c>
      <c r="C435" s="4" t="s">
        <v>852</v>
      </c>
      <c r="D435" s="5" t="s">
        <v>2773</v>
      </c>
      <c r="E435" s="4" t="s">
        <v>1645</v>
      </c>
      <c r="F435" s="4" t="s">
        <v>1845</v>
      </c>
    </row>
    <row r="436" spans="1:6" x14ac:dyDescent="0.25">
      <c r="A436" s="4" t="s">
        <v>256</v>
      </c>
      <c r="B436">
        <v>435</v>
      </c>
      <c r="C436" s="4" t="s">
        <v>853</v>
      </c>
      <c r="D436" s="5" t="s">
        <v>302</v>
      </c>
      <c r="E436" s="4" t="s">
        <v>302</v>
      </c>
      <c r="F436" s="4" t="s">
        <v>302</v>
      </c>
    </row>
    <row r="437" spans="1:6" x14ac:dyDescent="0.25">
      <c r="A437" s="4" t="s">
        <v>256</v>
      </c>
      <c r="B437">
        <v>436</v>
      </c>
      <c r="C437" s="4" t="s">
        <v>854</v>
      </c>
      <c r="D437" s="5" t="s">
        <v>2730</v>
      </c>
      <c r="E437" s="4" t="s">
        <v>855</v>
      </c>
      <c r="F437" s="4" t="s">
        <v>1846</v>
      </c>
    </row>
    <row r="438" spans="1:6" x14ac:dyDescent="0.25">
      <c r="A438" s="4" t="s">
        <v>256</v>
      </c>
      <c r="B438">
        <v>437</v>
      </c>
      <c r="C438" s="4" t="s">
        <v>856</v>
      </c>
      <c r="D438" s="5" t="s">
        <v>302</v>
      </c>
      <c r="E438" s="4" t="s">
        <v>302</v>
      </c>
      <c r="F438" s="4" t="s">
        <v>302</v>
      </c>
    </row>
    <row r="439" spans="1:6" x14ac:dyDescent="0.25">
      <c r="A439" s="4" t="s">
        <v>256</v>
      </c>
      <c r="B439">
        <v>438</v>
      </c>
      <c r="C439" s="4" t="s">
        <v>262</v>
      </c>
      <c r="D439" s="5" t="s">
        <v>2641</v>
      </c>
      <c r="E439" s="4" t="s">
        <v>263</v>
      </c>
      <c r="F439" s="4" t="s">
        <v>1676</v>
      </c>
    </row>
    <row r="440" spans="1:6" x14ac:dyDescent="0.25">
      <c r="A440" s="4" t="s">
        <v>256</v>
      </c>
      <c r="B440">
        <v>439</v>
      </c>
      <c r="C440" s="4" t="s">
        <v>857</v>
      </c>
      <c r="D440" s="5" t="s">
        <v>317</v>
      </c>
      <c r="E440" s="4" t="s">
        <v>858</v>
      </c>
      <c r="F440" s="4" t="s">
        <v>1847</v>
      </c>
    </row>
    <row r="441" spans="1:6" x14ac:dyDescent="0.25">
      <c r="A441" s="4" t="s">
        <v>256</v>
      </c>
      <c r="B441">
        <v>440</v>
      </c>
      <c r="C441" s="4" t="s">
        <v>859</v>
      </c>
      <c r="D441" s="5" t="s">
        <v>2774</v>
      </c>
      <c r="E441" s="4" t="s">
        <v>860</v>
      </c>
      <c r="F441" s="4" t="s">
        <v>1848</v>
      </c>
    </row>
    <row r="442" spans="1:6" x14ac:dyDescent="0.25">
      <c r="A442" s="4" t="s">
        <v>256</v>
      </c>
      <c r="B442">
        <v>441</v>
      </c>
      <c r="C442" s="4" t="s">
        <v>861</v>
      </c>
      <c r="D442" s="5" t="s">
        <v>302</v>
      </c>
      <c r="E442" s="4" t="s">
        <v>302</v>
      </c>
      <c r="F442" s="4" t="s">
        <v>302</v>
      </c>
    </row>
    <row r="443" spans="1:6" x14ac:dyDescent="0.25">
      <c r="A443" s="4" t="s">
        <v>256</v>
      </c>
      <c r="B443">
        <v>442</v>
      </c>
      <c r="C443" s="4" t="s">
        <v>862</v>
      </c>
      <c r="D443" s="5" t="s">
        <v>2584</v>
      </c>
      <c r="E443" s="4" t="s">
        <v>863</v>
      </c>
      <c r="F443" s="4" t="s">
        <v>1849</v>
      </c>
    </row>
    <row r="444" spans="1:6" x14ac:dyDescent="0.25">
      <c r="A444" s="4" t="s">
        <v>256</v>
      </c>
      <c r="B444">
        <v>443</v>
      </c>
      <c r="C444" s="4" t="s">
        <v>864</v>
      </c>
      <c r="D444" s="5" t="s">
        <v>2775</v>
      </c>
      <c r="E444" s="4" t="s">
        <v>865</v>
      </c>
      <c r="F444" s="4" t="s">
        <v>1850</v>
      </c>
    </row>
    <row r="445" spans="1:6" x14ac:dyDescent="0.25">
      <c r="A445" s="4" t="s">
        <v>256</v>
      </c>
      <c r="B445">
        <v>444</v>
      </c>
      <c r="C445" s="4" t="s">
        <v>866</v>
      </c>
      <c r="D445" s="5" t="s">
        <v>2640</v>
      </c>
      <c r="E445" s="4" t="s">
        <v>867</v>
      </c>
      <c r="F445" s="4" t="s">
        <v>1675</v>
      </c>
    </row>
    <row r="446" spans="1:6" x14ac:dyDescent="0.25">
      <c r="A446" s="4" t="s">
        <v>256</v>
      </c>
      <c r="B446">
        <v>445</v>
      </c>
      <c r="C446" s="4" t="s">
        <v>868</v>
      </c>
      <c r="D446" s="5" t="s">
        <v>302</v>
      </c>
      <c r="E446" s="4" t="s">
        <v>302</v>
      </c>
      <c r="F446" s="4" t="s">
        <v>302</v>
      </c>
    </row>
    <row r="447" spans="1:6" x14ac:dyDescent="0.25">
      <c r="A447" s="4" t="s">
        <v>256</v>
      </c>
      <c r="B447">
        <v>446</v>
      </c>
      <c r="C447" s="4" t="s">
        <v>869</v>
      </c>
      <c r="D447" s="5" t="s">
        <v>302</v>
      </c>
      <c r="E447" s="4" t="s">
        <v>302</v>
      </c>
      <c r="F447" s="4" t="s">
        <v>302</v>
      </c>
    </row>
    <row r="448" spans="1:6" x14ac:dyDescent="0.25">
      <c r="A448" s="4" t="s">
        <v>256</v>
      </c>
      <c r="B448">
        <v>447</v>
      </c>
      <c r="C448" s="4" t="s">
        <v>870</v>
      </c>
      <c r="D448" s="5" t="s">
        <v>2556</v>
      </c>
      <c r="E448" s="4" t="s">
        <v>871</v>
      </c>
      <c r="F448" s="4" t="s">
        <v>1851</v>
      </c>
    </row>
    <row r="449" spans="1:6" x14ac:dyDescent="0.25">
      <c r="A449" s="4" t="s">
        <v>256</v>
      </c>
      <c r="B449">
        <v>448</v>
      </c>
      <c r="C449" s="4" t="s">
        <v>872</v>
      </c>
      <c r="D449" s="5" t="s">
        <v>2776</v>
      </c>
      <c r="E449" s="4" t="s">
        <v>873</v>
      </c>
      <c r="F449" s="4" t="s">
        <v>1852</v>
      </c>
    </row>
    <row r="450" spans="1:6" x14ac:dyDescent="0.25">
      <c r="A450" s="4" t="s">
        <v>256</v>
      </c>
      <c r="B450">
        <v>449</v>
      </c>
      <c r="C450" s="4" t="s">
        <v>874</v>
      </c>
      <c r="D450" s="5" t="s">
        <v>302</v>
      </c>
      <c r="E450" s="4" t="s">
        <v>302</v>
      </c>
      <c r="F450" s="4" t="s">
        <v>302</v>
      </c>
    </row>
    <row r="451" spans="1:6" x14ac:dyDescent="0.25">
      <c r="A451" s="4" t="s">
        <v>256</v>
      </c>
      <c r="B451">
        <v>450</v>
      </c>
      <c r="C451" s="4" t="s">
        <v>287</v>
      </c>
      <c r="D451" s="5" t="s">
        <v>2619</v>
      </c>
      <c r="E451" s="4" t="s">
        <v>288</v>
      </c>
      <c r="F451" s="4" t="s">
        <v>1688</v>
      </c>
    </row>
    <row r="452" spans="1:6" x14ac:dyDescent="0.25">
      <c r="A452" s="4" t="s">
        <v>256</v>
      </c>
      <c r="B452">
        <v>451</v>
      </c>
      <c r="C452" s="4" t="s">
        <v>875</v>
      </c>
      <c r="D452" s="5" t="s">
        <v>2777</v>
      </c>
      <c r="E452" s="4" t="s">
        <v>1646</v>
      </c>
      <c r="F452" s="4" t="s">
        <v>1853</v>
      </c>
    </row>
    <row r="453" spans="1:6" x14ac:dyDescent="0.25">
      <c r="A453" s="4" t="s">
        <v>256</v>
      </c>
      <c r="B453">
        <v>452</v>
      </c>
      <c r="C453" s="4" t="s">
        <v>876</v>
      </c>
      <c r="D453" s="5" t="s">
        <v>2778</v>
      </c>
      <c r="E453" s="4" t="s">
        <v>877</v>
      </c>
      <c r="F453" s="4" t="s">
        <v>1854</v>
      </c>
    </row>
    <row r="454" spans="1:6" x14ac:dyDescent="0.25">
      <c r="A454" s="4" t="s">
        <v>256</v>
      </c>
      <c r="B454">
        <v>453</v>
      </c>
      <c r="C454" s="4" t="s">
        <v>878</v>
      </c>
      <c r="D454" s="5" t="s">
        <v>2773</v>
      </c>
      <c r="E454" s="4" t="s">
        <v>879</v>
      </c>
      <c r="F454" s="4" t="s">
        <v>1855</v>
      </c>
    </row>
    <row r="455" spans="1:6" x14ac:dyDescent="0.25">
      <c r="A455" s="4" t="s">
        <v>256</v>
      </c>
      <c r="B455">
        <v>454</v>
      </c>
      <c r="C455" s="4" t="s">
        <v>880</v>
      </c>
      <c r="D455" s="5" t="s">
        <v>2779</v>
      </c>
      <c r="E455" s="4" t="s">
        <v>881</v>
      </c>
      <c r="F455" s="4" t="s">
        <v>1856</v>
      </c>
    </row>
    <row r="456" spans="1:6" x14ac:dyDescent="0.25">
      <c r="A456" s="4" t="s">
        <v>256</v>
      </c>
      <c r="B456">
        <v>455</v>
      </c>
      <c r="C456" s="4" t="s">
        <v>882</v>
      </c>
      <c r="D456" s="5" t="s">
        <v>302</v>
      </c>
      <c r="E456" s="4" t="s">
        <v>302</v>
      </c>
      <c r="F456" s="4" t="s">
        <v>302</v>
      </c>
    </row>
    <row r="457" spans="1:6" x14ac:dyDescent="0.25">
      <c r="A457" s="4" t="s">
        <v>256</v>
      </c>
      <c r="B457">
        <v>456</v>
      </c>
      <c r="C457" s="4" t="s">
        <v>883</v>
      </c>
      <c r="D457" s="5" t="s">
        <v>302</v>
      </c>
      <c r="E457" s="4" t="s">
        <v>302</v>
      </c>
      <c r="F457" s="4" t="s">
        <v>302</v>
      </c>
    </row>
    <row r="458" spans="1:6" x14ac:dyDescent="0.25">
      <c r="A458" s="4" t="s">
        <v>256</v>
      </c>
      <c r="B458">
        <v>457</v>
      </c>
      <c r="C458" s="4" t="s">
        <v>884</v>
      </c>
      <c r="D458" s="5" t="s">
        <v>2607</v>
      </c>
      <c r="E458" s="4" t="s">
        <v>885</v>
      </c>
      <c r="F458" s="4" t="s">
        <v>1857</v>
      </c>
    </row>
    <row r="459" spans="1:6" x14ac:dyDescent="0.25">
      <c r="A459" s="4" t="s">
        <v>256</v>
      </c>
      <c r="B459">
        <v>458</v>
      </c>
      <c r="C459" s="4" t="s">
        <v>886</v>
      </c>
      <c r="D459" s="5" t="s">
        <v>2616</v>
      </c>
      <c r="E459" s="4" t="s">
        <v>887</v>
      </c>
      <c r="F459" s="4" t="s">
        <v>1858</v>
      </c>
    </row>
    <row r="460" spans="1:6" x14ac:dyDescent="0.25">
      <c r="A460" s="4" t="s">
        <v>256</v>
      </c>
      <c r="B460">
        <v>459</v>
      </c>
      <c r="C460" s="4" t="s">
        <v>888</v>
      </c>
      <c r="D460" s="5" t="s">
        <v>2780</v>
      </c>
      <c r="E460" s="4" t="s">
        <v>889</v>
      </c>
      <c r="F460" s="4" t="s">
        <v>1859</v>
      </c>
    </row>
    <row r="461" spans="1:6" x14ac:dyDescent="0.25">
      <c r="A461" s="4" t="s">
        <v>256</v>
      </c>
      <c r="B461">
        <v>460</v>
      </c>
      <c r="C461" s="4" t="s">
        <v>890</v>
      </c>
      <c r="D461" s="5" t="s">
        <v>302</v>
      </c>
      <c r="E461" s="4" t="s">
        <v>302</v>
      </c>
      <c r="F461" s="4" t="s">
        <v>302</v>
      </c>
    </row>
    <row r="462" spans="1:6" x14ac:dyDescent="0.25">
      <c r="A462" s="4" t="s">
        <v>256</v>
      </c>
      <c r="B462">
        <v>461</v>
      </c>
      <c r="C462" s="4" t="s">
        <v>275</v>
      </c>
      <c r="D462" s="5" t="s">
        <v>2605</v>
      </c>
      <c r="E462" s="4" t="s">
        <v>276</v>
      </c>
      <c r="F462" s="4" t="s">
        <v>1682</v>
      </c>
    </row>
    <row r="463" spans="1:6" x14ac:dyDescent="0.25">
      <c r="A463" s="4" t="s">
        <v>256</v>
      </c>
      <c r="B463">
        <v>462</v>
      </c>
      <c r="C463" s="4" t="s">
        <v>891</v>
      </c>
      <c r="D463" s="5" t="s">
        <v>302</v>
      </c>
      <c r="E463" s="4" t="s">
        <v>302</v>
      </c>
      <c r="F463" s="4" t="s">
        <v>302</v>
      </c>
    </row>
    <row r="464" spans="1:6" x14ac:dyDescent="0.25">
      <c r="A464" s="4" t="s">
        <v>256</v>
      </c>
      <c r="B464">
        <v>463</v>
      </c>
      <c r="C464" s="4" t="s">
        <v>260</v>
      </c>
      <c r="D464" s="5" t="s">
        <v>2781</v>
      </c>
      <c r="E464" s="4" t="s">
        <v>261</v>
      </c>
      <c r="F464" s="4" t="s">
        <v>1860</v>
      </c>
    </row>
    <row r="465" spans="1:6" x14ac:dyDescent="0.25">
      <c r="A465" s="4" t="s">
        <v>256</v>
      </c>
      <c r="B465">
        <v>464</v>
      </c>
      <c r="C465" s="4" t="s">
        <v>892</v>
      </c>
      <c r="D465" s="5" t="s">
        <v>302</v>
      </c>
      <c r="E465" s="4" t="s">
        <v>302</v>
      </c>
      <c r="F465" s="4" t="s">
        <v>302</v>
      </c>
    </row>
    <row r="466" spans="1:6" x14ac:dyDescent="0.25">
      <c r="A466" s="4" t="s">
        <v>256</v>
      </c>
      <c r="B466">
        <v>465</v>
      </c>
      <c r="C466" s="4" t="s">
        <v>893</v>
      </c>
      <c r="D466" s="5" t="s">
        <v>302</v>
      </c>
      <c r="E466" s="4" t="s">
        <v>302</v>
      </c>
      <c r="F466" s="4" t="s">
        <v>302</v>
      </c>
    </row>
    <row r="467" spans="1:6" x14ac:dyDescent="0.25">
      <c r="A467" s="4" t="s">
        <v>256</v>
      </c>
      <c r="B467">
        <v>466</v>
      </c>
      <c r="C467" s="4" t="s">
        <v>894</v>
      </c>
      <c r="D467" s="5" t="s">
        <v>2782</v>
      </c>
      <c r="E467" s="4" t="s">
        <v>895</v>
      </c>
      <c r="F467" s="4" t="s">
        <v>1861</v>
      </c>
    </row>
    <row r="468" spans="1:6" x14ac:dyDescent="0.25">
      <c r="A468" s="4" t="s">
        <v>256</v>
      </c>
      <c r="B468">
        <v>467</v>
      </c>
      <c r="C468" s="4" t="s">
        <v>896</v>
      </c>
      <c r="D468" s="5" t="s">
        <v>302</v>
      </c>
      <c r="E468" s="4" t="s">
        <v>302</v>
      </c>
      <c r="F468" s="4" t="s">
        <v>302</v>
      </c>
    </row>
    <row r="469" spans="1:6" x14ac:dyDescent="0.25">
      <c r="A469" s="4" t="s">
        <v>256</v>
      </c>
      <c r="B469">
        <v>468</v>
      </c>
      <c r="C469" s="4" t="s">
        <v>897</v>
      </c>
      <c r="D469" s="5" t="s">
        <v>302</v>
      </c>
      <c r="E469" s="4" t="s">
        <v>302</v>
      </c>
      <c r="F469" s="4" t="s">
        <v>302</v>
      </c>
    </row>
    <row r="470" spans="1:6" x14ac:dyDescent="0.25">
      <c r="A470" s="4" t="s">
        <v>256</v>
      </c>
      <c r="B470">
        <v>469</v>
      </c>
      <c r="C470" s="4" t="s">
        <v>898</v>
      </c>
      <c r="D470" s="5" t="s">
        <v>302</v>
      </c>
      <c r="E470" s="4" t="s">
        <v>302</v>
      </c>
      <c r="F470" s="4" t="s">
        <v>302</v>
      </c>
    </row>
    <row r="471" spans="1:6" x14ac:dyDescent="0.25">
      <c r="A471" s="4" t="s">
        <v>256</v>
      </c>
      <c r="B471">
        <v>470</v>
      </c>
      <c r="C471" s="4" t="s">
        <v>899</v>
      </c>
      <c r="D471" s="5" t="s">
        <v>2614</v>
      </c>
      <c r="E471" s="4" t="s">
        <v>900</v>
      </c>
      <c r="F471" s="4" t="s">
        <v>1862</v>
      </c>
    </row>
    <row r="472" spans="1:6" x14ac:dyDescent="0.25">
      <c r="A472" s="4" t="s">
        <v>256</v>
      </c>
      <c r="B472">
        <v>471</v>
      </c>
      <c r="C472" s="4" t="s">
        <v>901</v>
      </c>
      <c r="D472" s="5" t="s">
        <v>302</v>
      </c>
      <c r="E472" s="4" t="s">
        <v>302</v>
      </c>
      <c r="F472" s="4" t="s">
        <v>302</v>
      </c>
    </row>
    <row r="473" spans="1:6" x14ac:dyDescent="0.25">
      <c r="A473" s="4" t="s">
        <v>256</v>
      </c>
      <c r="B473">
        <v>472</v>
      </c>
      <c r="C473" s="4" t="s">
        <v>902</v>
      </c>
      <c r="D473" s="5" t="s">
        <v>302</v>
      </c>
      <c r="E473" s="4" t="s">
        <v>302</v>
      </c>
      <c r="F473" s="4" t="s">
        <v>302</v>
      </c>
    </row>
    <row r="474" spans="1:6" x14ac:dyDescent="0.25">
      <c r="A474" s="4" t="s">
        <v>256</v>
      </c>
      <c r="B474">
        <v>473</v>
      </c>
      <c r="C474" s="4" t="s">
        <v>903</v>
      </c>
      <c r="D474" s="5" t="s">
        <v>302</v>
      </c>
      <c r="E474" s="4" t="s">
        <v>302</v>
      </c>
      <c r="F474" s="4" t="s">
        <v>302</v>
      </c>
    </row>
    <row r="475" spans="1:6" x14ac:dyDescent="0.25">
      <c r="A475" s="4" t="s">
        <v>256</v>
      </c>
      <c r="B475">
        <v>474</v>
      </c>
      <c r="C475" s="4" t="s">
        <v>904</v>
      </c>
      <c r="D475" s="5" t="s">
        <v>2621</v>
      </c>
      <c r="E475" s="4" t="s">
        <v>905</v>
      </c>
      <c r="F475" s="4" t="s">
        <v>1863</v>
      </c>
    </row>
    <row r="476" spans="1:6" x14ac:dyDescent="0.25">
      <c r="A476" s="4" t="s">
        <v>256</v>
      </c>
      <c r="B476">
        <v>475</v>
      </c>
      <c r="C476" s="4" t="s">
        <v>906</v>
      </c>
      <c r="D476" s="5" t="s">
        <v>2312</v>
      </c>
      <c r="E476" s="4" t="s">
        <v>907</v>
      </c>
      <c r="F476" s="4" t="s">
        <v>1864</v>
      </c>
    </row>
    <row r="477" spans="1:6" x14ac:dyDescent="0.25">
      <c r="A477" s="4" t="s">
        <v>256</v>
      </c>
      <c r="B477">
        <v>476</v>
      </c>
      <c r="C477" s="4" t="s">
        <v>908</v>
      </c>
      <c r="D477" s="5" t="s">
        <v>302</v>
      </c>
      <c r="E477" s="4" t="s">
        <v>302</v>
      </c>
      <c r="F477" s="4" t="s">
        <v>302</v>
      </c>
    </row>
    <row r="478" spans="1:6" x14ac:dyDescent="0.25">
      <c r="A478" s="4" t="s">
        <v>256</v>
      </c>
      <c r="B478">
        <v>477</v>
      </c>
      <c r="C478" s="4" t="s">
        <v>909</v>
      </c>
      <c r="D478" s="5" t="s">
        <v>2783</v>
      </c>
      <c r="E478" s="4" t="s">
        <v>910</v>
      </c>
      <c r="F478" s="4" t="s">
        <v>1865</v>
      </c>
    </row>
    <row r="479" spans="1:6" x14ac:dyDescent="0.25">
      <c r="A479" s="4" t="s">
        <v>256</v>
      </c>
      <c r="B479">
        <v>478</v>
      </c>
      <c r="C479" s="4" t="s">
        <v>911</v>
      </c>
      <c r="D479" s="5" t="s">
        <v>2784</v>
      </c>
      <c r="E479" s="4" t="s">
        <v>912</v>
      </c>
      <c r="F479" s="4" t="s">
        <v>1866</v>
      </c>
    </row>
    <row r="480" spans="1:6" x14ac:dyDescent="0.25">
      <c r="A480" s="4" t="s">
        <v>256</v>
      </c>
      <c r="B480">
        <v>479</v>
      </c>
      <c r="C480" s="4" t="s">
        <v>913</v>
      </c>
      <c r="D480" s="5" t="s">
        <v>2738</v>
      </c>
      <c r="E480" s="4" t="s">
        <v>914</v>
      </c>
      <c r="F480" s="4" t="s">
        <v>1867</v>
      </c>
    </row>
    <row r="481" spans="1:6" x14ac:dyDescent="0.25">
      <c r="A481" s="4" t="s">
        <v>256</v>
      </c>
      <c r="B481">
        <v>480</v>
      </c>
      <c r="C481" s="4" t="s">
        <v>915</v>
      </c>
      <c r="D481" s="5" t="s">
        <v>302</v>
      </c>
      <c r="E481" s="4" t="s">
        <v>302</v>
      </c>
      <c r="F481" s="4" t="s">
        <v>302</v>
      </c>
    </row>
    <row r="482" spans="1:6" x14ac:dyDescent="0.25">
      <c r="A482" s="4" t="s">
        <v>256</v>
      </c>
      <c r="B482">
        <v>481</v>
      </c>
      <c r="C482" s="4" t="s">
        <v>916</v>
      </c>
      <c r="D482" s="5" t="s">
        <v>555</v>
      </c>
      <c r="E482" s="4" t="s">
        <v>917</v>
      </c>
      <c r="F482" s="4" t="s">
        <v>1868</v>
      </c>
    </row>
    <row r="483" spans="1:6" x14ac:dyDescent="0.25">
      <c r="A483" s="4" t="s">
        <v>256</v>
      </c>
      <c r="B483">
        <v>482</v>
      </c>
      <c r="C483" s="4" t="s">
        <v>918</v>
      </c>
      <c r="D483" s="5" t="s">
        <v>2785</v>
      </c>
      <c r="E483" s="4" t="s">
        <v>919</v>
      </c>
      <c r="F483" s="4" t="s">
        <v>1869</v>
      </c>
    </row>
    <row r="484" spans="1:6" x14ac:dyDescent="0.25">
      <c r="A484" s="4" t="s">
        <v>256</v>
      </c>
      <c r="B484">
        <v>483</v>
      </c>
      <c r="C484" s="4" t="s">
        <v>920</v>
      </c>
      <c r="D484" s="5" t="s">
        <v>2786</v>
      </c>
      <c r="E484" s="4" t="s">
        <v>921</v>
      </c>
      <c r="F484" s="4" t="s">
        <v>1870</v>
      </c>
    </row>
    <row r="485" spans="1:6" x14ac:dyDescent="0.25">
      <c r="A485" s="4" t="s">
        <v>256</v>
      </c>
      <c r="B485">
        <v>484</v>
      </c>
      <c r="C485" s="4" t="s">
        <v>922</v>
      </c>
      <c r="D485" s="5" t="s">
        <v>2787</v>
      </c>
      <c r="E485" s="4" t="s">
        <v>923</v>
      </c>
      <c r="F485" s="4" t="s">
        <v>1871</v>
      </c>
    </row>
    <row r="486" spans="1:6" x14ac:dyDescent="0.25">
      <c r="A486" s="4" t="s">
        <v>256</v>
      </c>
      <c r="B486">
        <v>485</v>
      </c>
      <c r="C486" s="4" t="s">
        <v>924</v>
      </c>
      <c r="D486" s="5" t="s">
        <v>2620</v>
      </c>
      <c r="E486" s="4" t="s">
        <v>925</v>
      </c>
      <c r="F486" s="4" t="s">
        <v>1872</v>
      </c>
    </row>
    <row r="487" spans="1:6" x14ac:dyDescent="0.25">
      <c r="A487" s="4" t="s">
        <v>256</v>
      </c>
      <c r="B487">
        <v>486</v>
      </c>
      <c r="C487" s="4" t="s">
        <v>926</v>
      </c>
      <c r="D487" s="5" t="s">
        <v>302</v>
      </c>
      <c r="E487" s="4" t="s">
        <v>302</v>
      </c>
      <c r="F487" s="4" t="s">
        <v>302</v>
      </c>
    </row>
    <row r="488" spans="1:6" x14ac:dyDescent="0.25">
      <c r="A488" s="4" t="s">
        <v>256</v>
      </c>
      <c r="B488">
        <v>487</v>
      </c>
      <c r="C488" s="4" t="s">
        <v>927</v>
      </c>
      <c r="D488" s="5" t="s">
        <v>2788</v>
      </c>
      <c r="E488" s="4" t="s">
        <v>928</v>
      </c>
      <c r="F488" s="4" t="s">
        <v>1873</v>
      </c>
    </row>
    <row r="489" spans="1:6" x14ac:dyDescent="0.25">
      <c r="A489" s="4" t="s">
        <v>256</v>
      </c>
      <c r="B489">
        <v>488</v>
      </c>
      <c r="C489" s="4" t="s">
        <v>271</v>
      </c>
      <c r="D489" s="5" t="s">
        <v>2646</v>
      </c>
      <c r="E489" s="4" t="s">
        <v>272</v>
      </c>
      <c r="F489" s="4" t="s">
        <v>1680</v>
      </c>
    </row>
    <row r="490" spans="1:6" x14ac:dyDescent="0.25">
      <c r="A490" s="4" t="s">
        <v>256</v>
      </c>
      <c r="B490">
        <v>489</v>
      </c>
      <c r="C490" s="4" t="s">
        <v>929</v>
      </c>
      <c r="D490" s="5" t="s">
        <v>2789</v>
      </c>
      <c r="E490" s="4" t="s">
        <v>930</v>
      </c>
      <c r="F490" s="4" t="s">
        <v>1874</v>
      </c>
    </row>
    <row r="491" spans="1:6" x14ac:dyDescent="0.25">
      <c r="A491" s="4" t="s">
        <v>256</v>
      </c>
      <c r="B491">
        <v>490</v>
      </c>
      <c r="C491" s="4" t="s">
        <v>931</v>
      </c>
      <c r="D491" s="5" t="s">
        <v>2790</v>
      </c>
      <c r="E491" s="4" t="s">
        <v>932</v>
      </c>
      <c r="F491" s="4" t="s">
        <v>1875</v>
      </c>
    </row>
    <row r="492" spans="1:6" x14ac:dyDescent="0.25">
      <c r="A492" s="4" t="s">
        <v>256</v>
      </c>
      <c r="B492">
        <v>491</v>
      </c>
      <c r="C492" s="4" t="s">
        <v>933</v>
      </c>
      <c r="D492" s="5" t="s">
        <v>2791</v>
      </c>
      <c r="E492" s="4" t="s">
        <v>934</v>
      </c>
      <c r="F492" s="4" t="s">
        <v>1876</v>
      </c>
    </row>
    <row r="493" spans="1:6" x14ac:dyDescent="0.25">
      <c r="A493" s="4" t="s">
        <v>256</v>
      </c>
      <c r="B493">
        <v>492</v>
      </c>
      <c r="C493" s="4" t="s">
        <v>935</v>
      </c>
      <c r="D493" s="5" t="s">
        <v>302</v>
      </c>
      <c r="E493" s="4" t="s">
        <v>302</v>
      </c>
      <c r="F493" s="4" t="s">
        <v>302</v>
      </c>
    </row>
    <row r="494" spans="1:6" x14ac:dyDescent="0.25">
      <c r="A494" s="4" t="s">
        <v>256</v>
      </c>
      <c r="B494">
        <v>493</v>
      </c>
      <c r="C494" s="4" t="s">
        <v>936</v>
      </c>
      <c r="D494" s="5" t="s">
        <v>2792</v>
      </c>
      <c r="E494" s="4" t="s">
        <v>937</v>
      </c>
      <c r="F494" s="4" t="s">
        <v>1877</v>
      </c>
    </row>
    <row r="495" spans="1:6" x14ac:dyDescent="0.25">
      <c r="A495" s="4" t="s">
        <v>256</v>
      </c>
      <c r="B495">
        <v>494</v>
      </c>
      <c r="C495" s="4" t="s">
        <v>936</v>
      </c>
      <c r="D495" s="5" t="s">
        <v>2792</v>
      </c>
      <c r="E495" s="4" t="s">
        <v>937</v>
      </c>
      <c r="F495" s="4" t="s">
        <v>1877</v>
      </c>
    </row>
    <row r="496" spans="1:6" x14ac:dyDescent="0.25">
      <c r="A496" s="4" t="s">
        <v>256</v>
      </c>
      <c r="B496">
        <v>495</v>
      </c>
      <c r="C496" s="4" t="s">
        <v>938</v>
      </c>
      <c r="D496" s="5" t="s">
        <v>2793</v>
      </c>
      <c r="E496" s="4" t="s">
        <v>939</v>
      </c>
      <c r="F496" s="4" t="s">
        <v>1878</v>
      </c>
    </row>
    <row r="497" spans="1:6" x14ac:dyDescent="0.25">
      <c r="A497" s="4" t="s">
        <v>256</v>
      </c>
      <c r="B497">
        <v>496</v>
      </c>
      <c r="C497" s="4" t="s">
        <v>940</v>
      </c>
      <c r="D497" s="5" t="s">
        <v>2794</v>
      </c>
      <c r="E497" s="4" t="s">
        <v>941</v>
      </c>
      <c r="F497" s="4" t="s">
        <v>1879</v>
      </c>
    </row>
    <row r="498" spans="1:6" x14ac:dyDescent="0.25">
      <c r="A498" s="4" t="s">
        <v>256</v>
      </c>
      <c r="B498">
        <v>497</v>
      </c>
      <c r="C498" s="4" t="s">
        <v>942</v>
      </c>
      <c r="D498" s="5" t="s">
        <v>2795</v>
      </c>
      <c r="E498" s="4" t="s">
        <v>943</v>
      </c>
      <c r="F498" s="4" t="s">
        <v>1880</v>
      </c>
    </row>
    <row r="499" spans="1:6" x14ac:dyDescent="0.25">
      <c r="A499" s="4" t="s">
        <v>256</v>
      </c>
      <c r="B499">
        <v>498</v>
      </c>
      <c r="C499" s="4" t="s">
        <v>944</v>
      </c>
      <c r="D499" s="5" t="s">
        <v>2796</v>
      </c>
      <c r="E499" s="4" t="s">
        <v>945</v>
      </c>
      <c r="F499" s="4" t="s">
        <v>1881</v>
      </c>
    </row>
    <row r="500" spans="1:6" x14ac:dyDescent="0.25">
      <c r="A500" s="4" t="s">
        <v>256</v>
      </c>
      <c r="B500">
        <v>499</v>
      </c>
      <c r="C500" s="4" t="s">
        <v>946</v>
      </c>
      <c r="D500" s="5" t="s">
        <v>2797</v>
      </c>
      <c r="E500" s="4" t="s">
        <v>947</v>
      </c>
      <c r="F500" s="4" t="s">
        <v>1882</v>
      </c>
    </row>
    <row r="501" spans="1:6" x14ac:dyDescent="0.25">
      <c r="A501" s="4" t="s">
        <v>256</v>
      </c>
      <c r="B501">
        <v>500</v>
      </c>
      <c r="C501" s="4" t="s">
        <v>948</v>
      </c>
      <c r="D501" s="5" t="s">
        <v>302</v>
      </c>
      <c r="E501" s="4" t="s">
        <v>302</v>
      </c>
      <c r="F501" s="4" t="s">
        <v>302</v>
      </c>
    </row>
    <row r="502" spans="1:6" x14ac:dyDescent="0.25">
      <c r="A502" s="4" t="s">
        <v>256</v>
      </c>
      <c r="B502">
        <v>501</v>
      </c>
      <c r="C502" s="4" t="s">
        <v>949</v>
      </c>
      <c r="D502" s="5" t="s">
        <v>302</v>
      </c>
      <c r="E502" s="4" t="s">
        <v>302</v>
      </c>
      <c r="F502" s="4" t="s">
        <v>302</v>
      </c>
    </row>
    <row r="503" spans="1:6" x14ac:dyDescent="0.25">
      <c r="A503" s="4" t="s">
        <v>256</v>
      </c>
      <c r="B503">
        <v>502</v>
      </c>
      <c r="C503" s="4" t="s">
        <v>950</v>
      </c>
      <c r="D503" s="5" t="s">
        <v>302</v>
      </c>
      <c r="E503" s="4" t="s">
        <v>302</v>
      </c>
      <c r="F503" s="4" t="s">
        <v>302</v>
      </c>
    </row>
    <row r="504" spans="1:6" x14ac:dyDescent="0.25">
      <c r="A504" s="4" t="s">
        <v>256</v>
      </c>
      <c r="B504">
        <v>503</v>
      </c>
      <c r="C504" s="4" t="s">
        <v>951</v>
      </c>
      <c r="D504" s="5" t="s">
        <v>302</v>
      </c>
      <c r="E504" s="4" t="s">
        <v>302</v>
      </c>
      <c r="F504" s="4" t="s">
        <v>302</v>
      </c>
    </row>
    <row r="505" spans="1:6" x14ac:dyDescent="0.25">
      <c r="A505" s="4" t="s">
        <v>256</v>
      </c>
      <c r="B505">
        <v>504</v>
      </c>
      <c r="C505" s="4" t="s">
        <v>952</v>
      </c>
      <c r="D505" s="5" t="s">
        <v>302</v>
      </c>
      <c r="E505" s="4" t="s">
        <v>302</v>
      </c>
      <c r="F505" s="4" t="s">
        <v>302</v>
      </c>
    </row>
    <row r="506" spans="1:6" x14ac:dyDescent="0.25">
      <c r="A506" s="4" t="s">
        <v>256</v>
      </c>
      <c r="B506">
        <v>505</v>
      </c>
      <c r="C506" s="4" t="s">
        <v>953</v>
      </c>
      <c r="D506" s="5" t="s">
        <v>2798</v>
      </c>
      <c r="E506" s="4" t="s">
        <v>954</v>
      </c>
      <c r="F506" s="4" t="s">
        <v>1883</v>
      </c>
    </row>
    <row r="507" spans="1:6" x14ac:dyDescent="0.25">
      <c r="A507" s="4" t="s">
        <v>256</v>
      </c>
      <c r="B507">
        <v>506</v>
      </c>
      <c r="C507" s="4" t="s">
        <v>955</v>
      </c>
      <c r="D507" s="5" t="s">
        <v>2799</v>
      </c>
      <c r="E507" s="4" t="s">
        <v>956</v>
      </c>
      <c r="F507" s="4" t="s">
        <v>1884</v>
      </c>
    </row>
    <row r="508" spans="1:6" x14ac:dyDescent="0.25">
      <c r="A508" s="4" t="s">
        <v>256</v>
      </c>
      <c r="B508">
        <v>507</v>
      </c>
      <c r="C508" s="4" t="s">
        <v>957</v>
      </c>
      <c r="D508" s="5" t="s">
        <v>2800</v>
      </c>
      <c r="E508" s="4" t="s">
        <v>958</v>
      </c>
      <c r="F508" s="4" t="s">
        <v>1885</v>
      </c>
    </row>
    <row r="509" spans="1:6" x14ac:dyDescent="0.25">
      <c r="A509" s="4" t="s">
        <v>256</v>
      </c>
      <c r="B509">
        <v>508</v>
      </c>
      <c r="C509" s="4" t="s">
        <v>959</v>
      </c>
      <c r="D509" s="5" t="s">
        <v>2801</v>
      </c>
      <c r="E509" s="4" t="s">
        <v>960</v>
      </c>
      <c r="F509" s="4" t="s">
        <v>1886</v>
      </c>
    </row>
    <row r="510" spans="1:6" x14ac:dyDescent="0.25">
      <c r="A510" s="4" t="s">
        <v>256</v>
      </c>
      <c r="B510">
        <v>509</v>
      </c>
      <c r="C510" s="4" t="s">
        <v>961</v>
      </c>
      <c r="D510" s="5" t="s">
        <v>2802</v>
      </c>
      <c r="E510" s="4" t="s">
        <v>962</v>
      </c>
      <c r="F510" s="4" t="s">
        <v>1887</v>
      </c>
    </row>
    <row r="511" spans="1:6" x14ac:dyDescent="0.25">
      <c r="A511" s="4" t="s">
        <v>256</v>
      </c>
      <c r="B511">
        <v>510</v>
      </c>
      <c r="C511" s="4" t="s">
        <v>963</v>
      </c>
      <c r="D511" s="5" t="s">
        <v>2803</v>
      </c>
      <c r="E511" s="4" t="s">
        <v>964</v>
      </c>
      <c r="F511" s="4" t="s">
        <v>1888</v>
      </c>
    </row>
    <row r="512" spans="1:6" x14ac:dyDescent="0.25">
      <c r="A512" s="4" t="s">
        <v>256</v>
      </c>
      <c r="B512">
        <v>511</v>
      </c>
      <c r="C512" s="4" t="s">
        <v>965</v>
      </c>
      <c r="D512" s="5" t="s">
        <v>302</v>
      </c>
      <c r="E512" s="4" t="s">
        <v>302</v>
      </c>
      <c r="F512" s="4" t="s">
        <v>302</v>
      </c>
    </row>
    <row r="513" spans="1:6" x14ac:dyDescent="0.25">
      <c r="A513" s="4" t="s">
        <v>256</v>
      </c>
      <c r="B513">
        <v>512</v>
      </c>
      <c r="C513" s="4" t="s">
        <v>966</v>
      </c>
      <c r="D513" s="5" t="s">
        <v>2804</v>
      </c>
      <c r="E513" s="4" t="s">
        <v>967</v>
      </c>
      <c r="F513" s="4" t="s">
        <v>1889</v>
      </c>
    </row>
    <row r="514" spans="1:6" x14ac:dyDescent="0.25">
      <c r="A514" s="4" t="s">
        <v>256</v>
      </c>
      <c r="B514">
        <v>513</v>
      </c>
      <c r="C514" s="4" t="s">
        <v>968</v>
      </c>
      <c r="D514" s="5" t="s">
        <v>2397</v>
      </c>
      <c r="E514" s="4" t="s">
        <v>969</v>
      </c>
      <c r="F514" s="4" t="s">
        <v>1890</v>
      </c>
    </row>
    <row r="515" spans="1:6" x14ac:dyDescent="0.25">
      <c r="A515" s="4" t="s">
        <v>256</v>
      </c>
      <c r="B515">
        <v>514</v>
      </c>
      <c r="C515" s="4" t="s">
        <v>970</v>
      </c>
      <c r="D515" s="5" t="s">
        <v>302</v>
      </c>
      <c r="E515" s="4" t="s">
        <v>302</v>
      </c>
      <c r="F515" s="4" t="s">
        <v>302</v>
      </c>
    </row>
    <row r="516" spans="1:6" x14ac:dyDescent="0.25">
      <c r="A516" s="4" t="s">
        <v>256</v>
      </c>
      <c r="B516">
        <v>515</v>
      </c>
      <c r="C516" s="4" t="s">
        <v>971</v>
      </c>
      <c r="D516" s="5" t="s">
        <v>302</v>
      </c>
      <c r="E516" s="4" t="s">
        <v>302</v>
      </c>
      <c r="F516" s="4" t="s">
        <v>302</v>
      </c>
    </row>
    <row r="517" spans="1:6" x14ac:dyDescent="0.25">
      <c r="A517" s="4" t="s">
        <v>256</v>
      </c>
      <c r="B517">
        <v>516</v>
      </c>
      <c r="C517" s="4" t="s">
        <v>972</v>
      </c>
      <c r="D517" s="5" t="s">
        <v>302</v>
      </c>
      <c r="E517" s="4" t="s">
        <v>302</v>
      </c>
      <c r="F517" s="4" t="s">
        <v>302</v>
      </c>
    </row>
    <row r="518" spans="1:6" x14ac:dyDescent="0.25">
      <c r="A518" s="4" t="s">
        <v>256</v>
      </c>
      <c r="B518">
        <v>517</v>
      </c>
      <c r="C518" s="4" t="s">
        <v>973</v>
      </c>
      <c r="D518" s="5" t="s">
        <v>2805</v>
      </c>
      <c r="E518" s="4" t="s">
        <v>974</v>
      </c>
      <c r="F518" s="4" t="s">
        <v>1891</v>
      </c>
    </row>
    <row r="519" spans="1:6" x14ac:dyDescent="0.25">
      <c r="A519" s="4" t="s">
        <v>256</v>
      </c>
      <c r="B519">
        <v>518</v>
      </c>
      <c r="C519" s="4" t="s">
        <v>975</v>
      </c>
      <c r="D519" s="5" t="s">
        <v>302</v>
      </c>
      <c r="E519" s="4" t="s">
        <v>302</v>
      </c>
      <c r="F519" s="4" t="s">
        <v>302</v>
      </c>
    </row>
    <row r="520" spans="1:6" x14ac:dyDescent="0.25">
      <c r="A520" s="4" t="s">
        <v>256</v>
      </c>
      <c r="B520">
        <v>519</v>
      </c>
      <c r="C520" s="4" t="s">
        <v>976</v>
      </c>
      <c r="D520" s="5" t="s">
        <v>2806</v>
      </c>
      <c r="E520" s="4" t="s">
        <v>977</v>
      </c>
      <c r="F520" s="4" t="s">
        <v>1892</v>
      </c>
    </row>
    <row r="521" spans="1:6" x14ac:dyDescent="0.25">
      <c r="A521" s="4" t="s">
        <v>256</v>
      </c>
      <c r="B521">
        <v>520</v>
      </c>
      <c r="C521" s="4" t="s">
        <v>978</v>
      </c>
      <c r="D521" s="5" t="s">
        <v>302</v>
      </c>
      <c r="E521" s="4" t="s">
        <v>302</v>
      </c>
      <c r="F521" s="4" t="s">
        <v>302</v>
      </c>
    </row>
    <row r="522" spans="1:6" x14ac:dyDescent="0.25">
      <c r="A522" s="4" t="s">
        <v>256</v>
      </c>
      <c r="B522">
        <v>521</v>
      </c>
      <c r="C522" s="4" t="s">
        <v>979</v>
      </c>
      <c r="D522" s="5" t="s">
        <v>2807</v>
      </c>
      <c r="E522" s="4" t="s">
        <v>980</v>
      </c>
      <c r="F522" s="4" t="s">
        <v>1893</v>
      </c>
    </row>
    <row r="523" spans="1:6" x14ac:dyDescent="0.25">
      <c r="A523" s="4" t="s">
        <v>256</v>
      </c>
      <c r="B523">
        <v>522</v>
      </c>
      <c r="C523" s="4" t="s">
        <v>981</v>
      </c>
      <c r="D523" s="5" t="s">
        <v>302</v>
      </c>
      <c r="E523" s="4" t="s">
        <v>302</v>
      </c>
      <c r="F523" s="4" t="s">
        <v>302</v>
      </c>
    </row>
    <row r="524" spans="1:6" x14ac:dyDescent="0.25">
      <c r="A524" s="4" t="s">
        <v>256</v>
      </c>
      <c r="B524">
        <v>523</v>
      </c>
      <c r="C524" s="4" t="s">
        <v>982</v>
      </c>
      <c r="D524" s="5" t="s">
        <v>302</v>
      </c>
      <c r="E524" s="4" t="s">
        <v>302</v>
      </c>
      <c r="F524" s="4" t="s">
        <v>302</v>
      </c>
    </row>
    <row r="525" spans="1:6" x14ac:dyDescent="0.25">
      <c r="A525" s="4" t="s">
        <v>256</v>
      </c>
      <c r="B525">
        <v>524</v>
      </c>
      <c r="C525" s="4" t="s">
        <v>983</v>
      </c>
      <c r="D525" s="5" t="s">
        <v>302</v>
      </c>
      <c r="E525" s="4" t="s">
        <v>302</v>
      </c>
      <c r="F525" s="4" t="s">
        <v>302</v>
      </c>
    </row>
    <row r="526" spans="1:6" x14ac:dyDescent="0.25">
      <c r="A526" s="4" t="s">
        <v>256</v>
      </c>
      <c r="B526">
        <v>525</v>
      </c>
      <c r="C526" s="4" t="s">
        <v>984</v>
      </c>
      <c r="D526" s="5" t="s">
        <v>302</v>
      </c>
      <c r="E526" s="4" t="s">
        <v>302</v>
      </c>
      <c r="F526" s="4" t="s">
        <v>302</v>
      </c>
    </row>
    <row r="527" spans="1:6" x14ac:dyDescent="0.25">
      <c r="A527" s="4" t="s">
        <v>256</v>
      </c>
      <c r="B527">
        <v>526</v>
      </c>
      <c r="C527" s="4" t="s">
        <v>985</v>
      </c>
      <c r="D527" s="5" t="s">
        <v>302</v>
      </c>
      <c r="E527" s="4" t="s">
        <v>302</v>
      </c>
      <c r="F527" s="4" t="s">
        <v>302</v>
      </c>
    </row>
    <row r="528" spans="1:6" x14ac:dyDescent="0.25">
      <c r="A528" s="4" t="s">
        <v>256</v>
      </c>
      <c r="B528">
        <v>527</v>
      </c>
      <c r="C528" s="4" t="s">
        <v>986</v>
      </c>
      <c r="D528" s="5" t="s">
        <v>2752</v>
      </c>
      <c r="E528" s="4" t="s">
        <v>2586</v>
      </c>
      <c r="F528" s="4" t="s">
        <v>2587</v>
      </c>
    </row>
    <row r="529" spans="1:6" x14ac:dyDescent="0.25">
      <c r="A529" s="4" t="s">
        <v>256</v>
      </c>
      <c r="B529">
        <v>528</v>
      </c>
      <c r="C529" s="4" t="s">
        <v>987</v>
      </c>
      <c r="D529" s="5" t="s">
        <v>2808</v>
      </c>
      <c r="E529" s="4" t="s">
        <v>2809</v>
      </c>
      <c r="F529" s="4" t="s">
        <v>2810</v>
      </c>
    </row>
    <row r="530" spans="1:6" x14ac:dyDescent="0.25">
      <c r="A530" s="4" t="s">
        <v>256</v>
      </c>
      <c r="B530">
        <v>529</v>
      </c>
      <c r="C530" s="4" t="s">
        <v>988</v>
      </c>
      <c r="D530" s="5" t="s">
        <v>2595</v>
      </c>
      <c r="E530" s="4" t="s">
        <v>989</v>
      </c>
      <c r="F530" s="4" t="s">
        <v>1894</v>
      </c>
    </row>
    <row r="531" spans="1:6" x14ac:dyDescent="0.25">
      <c r="A531" s="4" t="s">
        <v>256</v>
      </c>
      <c r="B531">
        <v>530</v>
      </c>
      <c r="C531" s="4" t="s">
        <v>990</v>
      </c>
      <c r="D531" s="5" t="s">
        <v>302</v>
      </c>
      <c r="E531" s="4" t="s">
        <v>302</v>
      </c>
      <c r="F531" s="4" t="s">
        <v>302</v>
      </c>
    </row>
    <row r="532" spans="1:6" x14ac:dyDescent="0.25">
      <c r="A532" s="4" t="s">
        <v>256</v>
      </c>
      <c r="B532">
        <v>531</v>
      </c>
      <c r="C532" s="4" t="s">
        <v>991</v>
      </c>
      <c r="D532" s="5" t="s">
        <v>2811</v>
      </c>
      <c r="E532" s="4" t="s">
        <v>992</v>
      </c>
      <c r="F532" s="4" t="s">
        <v>1895</v>
      </c>
    </row>
    <row r="533" spans="1:6" x14ac:dyDescent="0.25">
      <c r="A533" s="4" t="s">
        <v>256</v>
      </c>
      <c r="B533">
        <v>532</v>
      </c>
      <c r="C533" s="4" t="s">
        <v>993</v>
      </c>
      <c r="D533" s="5" t="s">
        <v>2812</v>
      </c>
      <c r="E533" s="4" t="s">
        <v>994</v>
      </c>
      <c r="F533" s="4" t="s">
        <v>1896</v>
      </c>
    </row>
    <row r="534" spans="1:6" x14ac:dyDescent="0.25">
      <c r="A534" s="4" t="s">
        <v>256</v>
      </c>
      <c r="B534">
        <v>533</v>
      </c>
      <c r="C534" s="4" t="s">
        <v>995</v>
      </c>
      <c r="D534" s="5" t="s">
        <v>2813</v>
      </c>
      <c r="E534" s="4" t="s">
        <v>996</v>
      </c>
      <c r="F534" s="4" t="s">
        <v>1897</v>
      </c>
    </row>
    <row r="535" spans="1:6" x14ac:dyDescent="0.25">
      <c r="A535" s="4" t="s">
        <v>256</v>
      </c>
      <c r="B535">
        <v>534</v>
      </c>
      <c r="C535" s="4" t="s">
        <v>997</v>
      </c>
      <c r="D535" s="5" t="s">
        <v>2814</v>
      </c>
      <c r="E535" s="4" t="s">
        <v>998</v>
      </c>
      <c r="F535" s="4" t="s">
        <v>1898</v>
      </c>
    </row>
    <row r="536" spans="1:6" x14ac:dyDescent="0.25">
      <c r="A536" s="4" t="s">
        <v>256</v>
      </c>
      <c r="B536">
        <v>535</v>
      </c>
      <c r="C536" s="4" t="s">
        <v>999</v>
      </c>
      <c r="D536" s="5" t="s">
        <v>302</v>
      </c>
      <c r="E536" s="4" t="s">
        <v>302</v>
      </c>
      <c r="F536" s="4" t="s">
        <v>302</v>
      </c>
    </row>
    <row r="537" spans="1:6" x14ac:dyDescent="0.25">
      <c r="A537" s="4" t="s">
        <v>256</v>
      </c>
      <c r="B537">
        <v>536</v>
      </c>
      <c r="C537" s="4" t="s">
        <v>1000</v>
      </c>
      <c r="D537" s="5" t="s">
        <v>2815</v>
      </c>
      <c r="E537" s="4" t="s">
        <v>1001</v>
      </c>
      <c r="F537" s="4" t="s">
        <v>1001</v>
      </c>
    </row>
    <row r="538" spans="1:6" x14ac:dyDescent="0.25">
      <c r="A538" s="4" t="s">
        <v>256</v>
      </c>
      <c r="B538">
        <v>537</v>
      </c>
      <c r="C538" s="4" t="s">
        <v>1002</v>
      </c>
      <c r="D538" s="5" t="s">
        <v>302</v>
      </c>
      <c r="E538" s="4" t="s">
        <v>302</v>
      </c>
      <c r="F538" s="4" t="s">
        <v>302</v>
      </c>
    </row>
    <row r="539" spans="1:6" x14ac:dyDescent="0.25">
      <c r="A539" s="4" t="s">
        <v>256</v>
      </c>
      <c r="B539">
        <v>538</v>
      </c>
      <c r="C539" s="4" t="s">
        <v>1003</v>
      </c>
      <c r="D539" s="5" t="s">
        <v>302</v>
      </c>
      <c r="E539" s="4" t="s">
        <v>302</v>
      </c>
      <c r="F539" s="4" t="s">
        <v>302</v>
      </c>
    </row>
    <row r="540" spans="1:6" x14ac:dyDescent="0.25">
      <c r="A540" s="4" t="s">
        <v>256</v>
      </c>
      <c r="B540">
        <v>539</v>
      </c>
      <c r="C540" s="4" t="s">
        <v>1004</v>
      </c>
      <c r="D540" s="5" t="s">
        <v>2816</v>
      </c>
      <c r="E540" s="4" t="s">
        <v>1005</v>
      </c>
      <c r="F540" s="4" t="s">
        <v>1899</v>
      </c>
    </row>
    <row r="541" spans="1:6" x14ac:dyDescent="0.25">
      <c r="A541" s="4" t="s">
        <v>256</v>
      </c>
      <c r="B541">
        <v>540</v>
      </c>
      <c r="C541" s="4" t="s">
        <v>1006</v>
      </c>
      <c r="D541" s="5" t="s">
        <v>2567</v>
      </c>
      <c r="E541" s="4" t="s">
        <v>1007</v>
      </c>
      <c r="F541" s="4" t="s">
        <v>1900</v>
      </c>
    </row>
    <row r="542" spans="1:6" x14ac:dyDescent="0.25">
      <c r="A542" s="4" t="s">
        <v>256</v>
      </c>
      <c r="B542">
        <v>541</v>
      </c>
      <c r="C542" s="4" t="s">
        <v>1008</v>
      </c>
      <c r="D542" s="5" t="s">
        <v>302</v>
      </c>
      <c r="E542" s="4" t="s">
        <v>302</v>
      </c>
      <c r="F542" s="4" t="s">
        <v>302</v>
      </c>
    </row>
    <row r="543" spans="1:6" x14ac:dyDescent="0.25">
      <c r="A543" s="4" t="s">
        <v>256</v>
      </c>
      <c r="B543">
        <v>542</v>
      </c>
      <c r="C543" s="4" t="s">
        <v>1009</v>
      </c>
      <c r="D543" s="5" t="s">
        <v>302</v>
      </c>
      <c r="E543" s="4" t="s">
        <v>302</v>
      </c>
      <c r="F543" s="4" t="s">
        <v>302</v>
      </c>
    </row>
    <row r="544" spans="1:6" x14ac:dyDescent="0.25">
      <c r="A544" s="4" t="s">
        <v>256</v>
      </c>
      <c r="B544">
        <v>543</v>
      </c>
      <c r="C544" s="4" t="s">
        <v>1010</v>
      </c>
      <c r="D544" s="5" t="s">
        <v>2817</v>
      </c>
      <c r="E544" s="4" t="s">
        <v>1011</v>
      </c>
      <c r="F544" s="4" t="s">
        <v>1901</v>
      </c>
    </row>
    <row r="545" spans="1:6" x14ac:dyDescent="0.25">
      <c r="A545" s="4" t="s">
        <v>256</v>
      </c>
      <c r="B545">
        <v>544</v>
      </c>
      <c r="C545" s="4" t="s">
        <v>1012</v>
      </c>
      <c r="D545" s="5" t="s">
        <v>2818</v>
      </c>
      <c r="E545" s="4" t="s">
        <v>1013</v>
      </c>
      <c r="F545" s="4" t="s">
        <v>1902</v>
      </c>
    </row>
    <row r="546" spans="1:6" x14ac:dyDescent="0.25">
      <c r="A546" s="4" t="s">
        <v>256</v>
      </c>
      <c r="B546">
        <v>545</v>
      </c>
      <c r="C546" s="4" t="s">
        <v>1014</v>
      </c>
      <c r="D546" s="5" t="s">
        <v>302</v>
      </c>
      <c r="E546" s="4" t="s">
        <v>302</v>
      </c>
      <c r="F546" s="4" t="s">
        <v>302</v>
      </c>
    </row>
    <row r="547" spans="1:6" x14ac:dyDescent="0.25">
      <c r="A547" s="4" t="s">
        <v>256</v>
      </c>
      <c r="B547">
        <v>546</v>
      </c>
      <c r="C547" s="4" t="s">
        <v>1015</v>
      </c>
      <c r="D547" s="5" t="s">
        <v>2819</v>
      </c>
      <c r="E547" s="4" t="s">
        <v>1016</v>
      </c>
      <c r="F547" s="4" t="s">
        <v>1903</v>
      </c>
    </row>
    <row r="548" spans="1:6" x14ac:dyDescent="0.25">
      <c r="A548" s="4" t="s">
        <v>256</v>
      </c>
      <c r="B548">
        <v>547</v>
      </c>
      <c r="C548" s="4" t="s">
        <v>1017</v>
      </c>
      <c r="D548" s="5" t="s">
        <v>2820</v>
      </c>
      <c r="E548" s="4" t="s">
        <v>1018</v>
      </c>
      <c r="F548" s="4" t="s">
        <v>1904</v>
      </c>
    </row>
    <row r="549" spans="1:6" x14ac:dyDescent="0.25">
      <c r="A549" s="4" t="s">
        <v>256</v>
      </c>
      <c r="B549">
        <v>548</v>
      </c>
      <c r="C549" s="4" t="s">
        <v>1019</v>
      </c>
      <c r="D549" s="5" t="s">
        <v>2821</v>
      </c>
      <c r="E549" s="4" t="s">
        <v>1020</v>
      </c>
      <c r="F549" s="4" t="s">
        <v>1905</v>
      </c>
    </row>
    <row r="550" spans="1:6" x14ac:dyDescent="0.25">
      <c r="A550" s="4" t="s">
        <v>256</v>
      </c>
      <c r="B550">
        <v>549</v>
      </c>
      <c r="C550" s="4" t="s">
        <v>1021</v>
      </c>
      <c r="D550" s="5" t="s">
        <v>2561</v>
      </c>
      <c r="E550" s="4" t="s">
        <v>1022</v>
      </c>
      <c r="F550" s="4" t="s">
        <v>1906</v>
      </c>
    </row>
    <row r="551" spans="1:6" x14ac:dyDescent="0.25">
      <c r="A551" s="4" t="s">
        <v>256</v>
      </c>
      <c r="B551">
        <v>550</v>
      </c>
      <c r="C551" s="4" t="s">
        <v>1023</v>
      </c>
      <c r="D551" s="5" t="s">
        <v>2588</v>
      </c>
      <c r="E551" s="4" t="s">
        <v>1024</v>
      </c>
      <c r="F551" s="4" t="s">
        <v>1907</v>
      </c>
    </row>
    <row r="552" spans="1:6" x14ac:dyDescent="0.25">
      <c r="A552" s="4" t="s">
        <v>256</v>
      </c>
      <c r="B552">
        <v>551</v>
      </c>
      <c r="C552" s="4" t="s">
        <v>1025</v>
      </c>
      <c r="D552" s="5" t="s">
        <v>2613</v>
      </c>
      <c r="E552" s="4" t="s">
        <v>1026</v>
      </c>
      <c r="F552" s="4" t="s">
        <v>1908</v>
      </c>
    </row>
    <row r="553" spans="1:6" x14ac:dyDescent="0.25">
      <c r="A553" s="4" t="s">
        <v>256</v>
      </c>
      <c r="B553">
        <v>552</v>
      </c>
      <c r="C553" s="4" t="s">
        <v>1027</v>
      </c>
      <c r="D553" s="5" t="s">
        <v>302</v>
      </c>
      <c r="E553" s="4" t="s">
        <v>302</v>
      </c>
      <c r="F553" s="4" t="s">
        <v>302</v>
      </c>
    </row>
    <row r="554" spans="1:6" x14ac:dyDescent="0.25">
      <c r="A554" s="4" t="s">
        <v>256</v>
      </c>
      <c r="B554">
        <v>553</v>
      </c>
      <c r="C554" s="4" t="s">
        <v>1028</v>
      </c>
      <c r="D554" s="5" t="s">
        <v>2822</v>
      </c>
      <c r="E554" s="4" t="s">
        <v>1029</v>
      </c>
      <c r="F554" s="4" t="s">
        <v>1909</v>
      </c>
    </row>
    <row r="555" spans="1:6" x14ac:dyDescent="0.25">
      <c r="A555" s="4" t="s">
        <v>256</v>
      </c>
      <c r="B555">
        <v>554</v>
      </c>
      <c r="C555" s="4" t="s">
        <v>1030</v>
      </c>
      <c r="D555" s="5" t="s">
        <v>2823</v>
      </c>
      <c r="E555" s="4" t="s">
        <v>1031</v>
      </c>
      <c r="F555" s="4" t="s">
        <v>1910</v>
      </c>
    </row>
    <row r="556" spans="1:6" x14ac:dyDescent="0.25">
      <c r="A556" s="4" t="s">
        <v>256</v>
      </c>
      <c r="B556">
        <v>555</v>
      </c>
      <c r="C556" s="4" t="s">
        <v>1032</v>
      </c>
      <c r="D556" s="5" t="s">
        <v>2572</v>
      </c>
      <c r="E556" s="4" t="s">
        <v>1033</v>
      </c>
      <c r="F556" s="4" t="s">
        <v>1911</v>
      </c>
    </row>
    <row r="557" spans="1:6" x14ac:dyDescent="0.25">
      <c r="A557" s="4" t="s">
        <v>256</v>
      </c>
      <c r="B557">
        <v>556</v>
      </c>
      <c r="C557" s="4" t="s">
        <v>1034</v>
      </c>
      <c r="D557" s="5" t="s">
        <v>2824</v>
      </c>
      <c r="E557" s="4" t="s">
        <v>1035</v>
      </c>
      <c r="F557" s="4" t="s">
        <v>1912</v>
      </c>
    </row>
    <row r="558" spans="1:6" x14ac:dyDescent="0.25">
      <c r="A558" s="4" t="s">
        <v>256</v>
      </c>
      <c r="B558">
        <v>557</v>
      </c>
      <c r="C558" s="4" t="s">
        <v>1036</v>
      </c>
      <c r="D558" s="5" t="s">
        <v>302</v>
      </c>
      <c r="E558" s="4" t="s">
        <v>302</v>
      </c>
      <c r="F558" s="4" t="s">
        <v>302</v>
      </c>
    </row>
    <row r="559" spans="1:6" x14ac:dyDescent="0.25">
      <c r="A559" s="4" t="s">
        <v>256</v>
      </c>
      <c r="B559">
        <v>558</v>
      </c>
      <c r="C559" s="4" t="s">
        <v>1037</v>
      </c>
      <c r="D559" s="5" t="s">
        <v>2347</v>
      </c>
      <c r="E559" s="4" t="s">
        <v>1038</v>
      </c>
      <c r="F559" s="4" t="s">
        <v>1913</v>
      </c>
    </row>
    <row r="560" spans="1:6" x14ac:dyDescent="0.25">
      <c r="A560" s="4" t="s">
        <v>256</v>
      </c>
      <c r="B560">
        <v>559</v>
      </c>
      <c r="C560" s="4" t="s">
        <v>1039</v>
      </c>
      <c r="D560" s="5" t="s">
        <v>302</v>
      </c>
      <c r="E560" s="4" t="s">
        <v>302</v>
      </c>
      <c r="F560" s="4" t="s">
        <v>302</v>
      </c>
    </row>
    <row r="561" spans="1:6" x14ac:dyDescent="0.25">
      <c r="A561" s="4" t="s">
        <v>256</v>
      </c>
      <c r="B561">
        <v>560</v>
      </c>
      <c r="C561" s="4" t="s">
        <v>1040</v>
      </c>
      <c r="D561" s="5" t="s">
        <v>302</v>
      </c>
      <c r="E561" s="4" t="s">
        <v>302</v>
      </c>
      <c r="F561" s="4" t="s">
        <v>302</v>
      </c>
    </row>
    <row r="562" spans="1:6" x14ac:dyDescent="0.25">
      <c r="A562" s="4" t="s">
        <v>256</v>
      </c>
      <c r="B562">
        <v>561</v>
      </c>
      <c r="C562" s="4" t="s">
        <v>1041</v>
      </c>
      <c r="D562" s="5" t="s">
        <v>302</v>
      </c>
      <c r="E562" s="4" t="s">
        <v>302</v>
      </c>
      <c r="F562" s="4" t="s">
        <v>302</v>
      </c>
    </row>
    <row r="563" spans="1:6" x14ac:dyDescent="0.25">
      <c r="A563" s="4" t="s">
        <v>256</v>
      </c>
      <c r="B563">
        <v>562</v>
      </c>
      <c r="C563" s="4" t="s">
        <v>1042</v>
      </c>
      <c r="D563" s="5" t="s">
        <v>302</v>
      </c>
      <c r="E563" s="4" t="s">
        <v>302</v>
      </c>
      <c r="F563" s="4" t="s">
        <v>302</v>
      </c>
    </row>
    <row r="564" spans="1:6" x14ac:dyDescent="0.25">
      <c r="A564" s="4" t="s">
        <v>256</v>
      </c>
      <c r="B564">
        <v>563</v>
      </c>
      <c r="C564" s="4" t="s">
        <v>1043</v>
      </c>
      <c r="D564" s="5" t="s">
        <v>2721</v>
      </c>
      <c r="E564" s="4" t="s">
        <v>1044</v>
      </c>
      <c r="F564" s="4" t="s">
        <v>1914</v>
      </c>
    </row>
    <row r="565" spans="1:6" x14ac:dyDescent="0.25">
      <c r="A565" s="4" t="s">
        <v>256</v>
      </c>
      <c r="B565">
        <v>564</v>
      </c>
      <c r="C565" s="4" t="s">
        <v>1045</v>
      </c>
      <c r="D565" s="5" t="s">
        <v>2555</v>
      </c>
      <c r="E565" s="4" t="s">
        <v>1046</v>
      </c>
      <c r="F565" s="4" t="s">
        <v>1915</v>
      </c>
    </row>
    <row r="566" spans="1:6" x14ac:dyDescent="0.25">
      <c r="A566" s="4" t="s">
        <v>256</v>
      </c>
      <c r="B566">
        <v>565</v>
      </c>
      <c r="C566" s="4" t="s">
        <v>1047</v>
      </c>
      <c r="D566" s="5" t="s">
        <v>302</v>
      </c>
      <c r="E566" s="4" t="s">
        <v>302</v>
      </c>
      <c r="F566" s="4" t="s">
        <v>302</v>
      </c>
    </row>
    <row r="567" spans="1:6" x14ac:dyDescent="0.25">
      <c r="A567" s="4" t="s">
        <v>256</v>
      </c>
      <c r="B567">
        <v>566</v>
      </c>
      <c r="C567" s="4" t="s">
        <v>1048</v>
      </c>
      <c r="D567" s="5" t="s">
        <v>302</v>
      </c>
      <c r="E567" s="4" t="s">
        <v>302</v>
      </c>
      <c r="F567" s="4" t="s">
        <v>302</v>
      </c>
    </row>
    <row r="568" spans="1:6" x14ac:dyDescent="0.25">
      <c r="A568" s="4" t="s">
        <v>256</v>
      </c>
      <c r="B568">
        <v>567</v>
      </c>
      <c r="C568" s="4" t="s">
        <v>1049</v>
      </c>
      <c r="D568" s="5" t="s">
        <v>302</v>
      </c>
      <c r="E568" s="4" t="s">
        <v>302</v>
      </c>
      <c r="F568" s="4" t="s">
        <v>302</v>
      </c>
    </row>
    <row r="569" spans="1:6" x14ac:dyDescent="0.25">
      <c r="A569" s="4" t="s">
        <v>256</v>
      </c>
      <c r="B569">
        <v>568</v>
      </c>
      <c r="C569" s="4" t="s">
        <v>1050</v>
      </c>
      <c r="D569" s="5" t="s">
        <v>317</v>
      </c>
      <c r="E569" s="4" t="s">
        <v>1051</v>
      </c>
      <c r="F569" s="4" t="s">
        <v>1916</v>
      </c>
    </row>
    <row r="570" spans="1:6" x14ac:dyDescent="0.25">
      <c r="A570" s="4" t="s">
        <v>256</v>
      </c>
      <c r="B570">
        <v>569</v>
      </c>
      <c r="C570" s="4" t="s">
        <v>1052</v>
      </c>
      <c r="D570" s="5" t="s">
        <v>302</v>
      </c>
      <c r="E570" s="4" t="s">
        <v>302</v>
      </c>
      <c r="F570" s="4" t="s">
        <v>302</v>
      </c>
    </row>
    <row r="571" spans="1:6" x14ac:dyDescent="0.25">
      <c r="A571" s="4" t="s">
        <v>256</v>
      </c>
      <c r="B571">
        <v>570</v>
      </c>
      <c r="C571" s="4" t="s">
        <v>1053</v>
      </c>
      <c r="D571" s="5" t="s">
        <v>2825</v>
      </c>
      <c r="E571" s="4" t="s">
        <v>1054</v>
      </c>
      <c r="F571" s="4" t="s">
        <v>1917</v>
      </c>
    </row>
    <row r="572" spans="1:6" x14ac:dyDescent="0.25">
      <c r="A572" s="4" t="s">
        <v>256</v>
      </c>
      <c r="B572">
        <v>571</v>
      </c>
      <c r="C572" s="4" t="s">
        <v>1055</v>
      </c>
      <c r="D572" s="5" t="s">
        <v>2826</v>
      </c>
      <c r="E572" s="4" t="s">
        <v>1056</v>
      </c>
      <c r="F572" s="4" t="s">
        <v>1918</v>
      </c>
    </row>
    <row r="573" spans="1:6" x14ac:dyDescent="0.25">
      <c r="A573" s="4" t="s">
        <v>256</v>
      </c>
      <c r="B573">
        <v>572</v>
      </c>
      <c r="C573" s="4" t="s">
        <v>1057</v>
      </c>
      <c r="D573" s="5" t="s">
        <v>2827</v>
      </c>
      <c r="E573" s="4" t="s">
        <v>1058</v>
      </c>
      <c r="F573" s="4" t="s">
        <v>1919</v>
      </c>
    </row>
    <row r="574" spans="1:6" x14ac:dyDescent="0.25">
      <c r="A574" s="4" t="s">
        <v>256</v>
      </c>
      <c r="B574">
        <v>573</v>
      </c>
      <c r="C574" s="4" t="s">
        <v>1059</v>
      </c>
      <c r="D574" s="5" t="s">
        <v>2553</v>
      </c>
      <c r="E574" s="4" t="s">
        <v>1060</v>
      </c>
      <c r="F574" s="4" t="s">
        <v>1920</v>
      </c>
    </row>
    <row r="575" spans="1:6" x14ac:dyDescent="0.25">
      <c r="A575" s="4" t="s">
        <v>256</v>
      </c>
      <c r="B575">
        <v>574</v>
      </c>
      <c r="C575" s="4" t="s">
        <v>1061</v>
      </c>
      <c r="D575" s="5" t="s">
        <v>2828</v>
      </c>
      <c r="E575" s="4" t="s">
        <v>1062</v>
      </c>
      <c r="F575" s="4" t="s">
        <v>1921</v>
      </c>
    </row>
    <row r="576" spans="1:6" x14ac:dyDescent="0.25">
      <c r="A576" s="4" t="s">
        <v>256</v>
      </c>
      <c r="B576">
        <v>575</v>
      </c>
      <c r="C576" s="4" t="s">
        <v>1063</v>
      </c>
      <c r="D576" s="5" t="s">
        <v>2829</v>
      </c>
      <c r="E576" s="4" t="s">
        <v>1064</v>
      </c>
      <c r="F576" s="4" t="s">
        <v>1922</v>
      </c>
    </row>
    <row r="577" spans="1:6" x14ac:dyDescent="0.25">
      <c r="A577" s="4" t="s">
        <v>256</v>
      </c>
      <c r="B577">
        <v>576</v>
      </c>
      <c r="C577" s="4" t="s">
        <v>1065</v>
      </c>
      <c r="D577" s="5" t="s">
        <v>302</v>
      </c>
      <c r="E577" s="4" t="s">
        <v>302</v>
      </c>
      <c r="F577" s="4" t="s">
        <v>302</v>
      </c>
    </row>
    <row r="578" spans="1:6" x14ac:dyDescent="0.25">
      <c r="A578" s="4" t="s">
        <v>256</v>
      </c>
      <c r="B578">
        <v>577</v>
      </c>
      <c r="C578" s="4" t="s">
        <v>1066</v>
      </c>
      <c r="D578" s="5" t="s">
        <v>2830</v>
      </c>
      <c r="E578" s="4" t="s">
        <v>1067</v>
      </c>
      <c r="F578" s="4" t="s">
        <v>1923</v>
      </c>
    </row>
    <row r="579" spans="1:6" x14ac:dyDescent="0.25">
      <c r="A579" s="4" t="s">
        <v>256</v>
      </c>
      <c r="B579">
        <v>578</v>
      </c>
      <c r="C579" s="4" t="s">
        <v>1068</v>
      </c>
      <c r="D579" s="5" t="s">
        <v>2831</v>
      </c>
      <c r="E579" s="4" t="s">
        <v>1069</v>
      </c>
      <c r="F579" s="4" t="s">
        <v>1924</v>
      </c>
    </row>
    <row r="580" spans="1:6" x14ac:dyDescent="0.25">
      <c r="A580" s="4" t="s">
        <v>256</v>
      </c>
      <c r="B580">
        <v>579</v>
      </c>
      <c r="C580" s="4" t="s">
        <v>1070</v>
      </c>
      <c r="D580" s="5" t="s">
        <v>302</v>
      </c>
      <c r="E580" s="4" t="s">
        <v>302</v>
      </c>
      <c r="F580" s="4" t="s">
        <v>302</v>
      </c>
    </row>
    <row r="581" spans="1:6" x14ac:dyDescent="0.25">
      <c r="A581" s="4" t="s">
        <v>256</v>
      </c>
      <c r="B581">
        <v>580</v>
      </c>
      <c r="C581" s="4" t="s">
        <v>1071</v>
      </c>
      <c r="D581" s="5" t="s">
        <v>2832</v>
      </c>
      <c r="E581" s="4" t="s">
        <v>1072</v>
      </c>
      <c r="F581" s="4" t="s">
        <v>1925</v>
      </c>
    </row>
    <row r="582" spans="1:6" x14ac:dyDescent="0.25">
      <c r="A582" s="4" t="s">
        <v>256</v>
      </c>
      <c r="B582">
        <v>581</v>
      </c>
      <c r="C582" s="4" t="s">
        <v>1073</v>
      </c>
      <c r="D582" s="5" t="s">
        <v>302</v>
      </c>
      <c r="E582" s="4" t="s">
        <v>302</v>
      </c>
      <c r="F582" s="4" t="s">
        <v>302</v>
      </c>
    </row>
    <row r="583" spans="1:6" x14ac:dyDescent="0.25">
      <c r="A583" s="4" t="s">
        <v>256</v>
      </c>
      <c r="B583">
        <v>582</v>
      </c>
      <c r="C583" s="4" t="s">
        <v>1074</v>
      </c>
      <c r="D583" s="5" t="s">
        <v>302</v>
      </c>
      <c r="E583" s="4" t="s">
        <v>302</v>
      </c>
      <c r="F583" s="4" t="s">
        <v>302</v>
      </c>
    </row>
    <row r="584" spans="1:6" x14ac:dyDescent="0.25">
      <c r="A584" s="4" t="s">
        <v>256</v>
      </c>
      <c r="B584">
        <v>583</v>
      </c>
      <c r="C584" s="4" t="s">
        <v>1075</v>
      </c>
      <c r="D584" s="5" t="s">
        <v>302</v>
      </c>
      <c r="E584" s="4" t="s">
        <v>302</v>
      </c>
      <c r="F584" s="4" t="s">
        <v>302</v>
      </c>
    </row>
    <row r="585" spans="1:6" x14ac:dyDescent="0.25">
      <c r="A585" s="4" t="s">
        <v>256</v>
      </c>
      <c r="B585">
        <v>584</v>
      </c>
      <c r="C585" s="4" t="s">
        <v>1076</v>
      </c>
      <c r="D585" s="5" t="s">
        <v>2833</v>
      </c>
      <c r="E585" s="4" t="s">
        <v>1077</v>
      </c>
      <c r="F585" s="4" t="s">
        <v>1926</v>
      </c>
    </row>
    <row r="586" spans="1:6" x14ac:dyDescent="0.25">
      <c r="A586" s="4" t="s">
        <v>256</v>
      </c>
      <c r="B586">
        <v>585</v>
      </c>
      <c r="C586" s="4" t="s">
        <v>1078</v>
      </c>
      <c r="D586" s="5" t="s">
        <v>2834</v>
      </c>
      <c r="E586" s="4" t="s">
        <v>1079</v>
      </c>
      <c r="F586" s="4" t="s">
        <v>1927</v>
      </c>
    </row>
    <row r="587" spans="1:6" x14ac:dyDescent="0.25">
      <c r="A587" s="4" t="s">
        <v>256</v>
      </c>
      <c r="B587">
        <v>586</v>
      </c>
      <c r="C587" s="4" t="s">
        <v>1080</v>
      </c>
      <c r="D587" s="5" t="s">
        <v>2588</v>
      </c>
      <c r="E587" s="4" t="s">
        <v>1081</v>
      </c>
      <c r="F587" s="4" t="s">
        <v>1928</v>
      </c>
    </row>
    <row r="588" spans="1:6" x14ac:dyDescent="0.25">
      <c r="A588" s="4" t="s">
        <v>256</v>
      </c>
      <c r="B588">
        <v>587</v>
      </c>
      <c r="C588" s="4" t="s">
        <v>1082</v>
      </c>
      <c r="D588" s="5" t="s">
        <v>2835</v>
      </c>
      <c r="E588" s="4" t="s">
        <v>1083</v>
      </c>
      <c r="F588" s="4" t="s">
        <v>1929</v>
      </c>
    </row>
    <row r="589" spans="1:6" x14ac:dyDescent="0.25">
      <c r="A589" s="4" t="s">
        <v>256</v>
      </c>
      <c r="B589">
        <v>588</v>
      </c>
      <c r="C589" s="4" t="s">
        <v>1084</v>
      </c>
      <c r="D589" s="5" t="s">
        <v>2836</v>
      </c>
      <c r="E589" s="4" t="s">
        <v>1085</v>
      </c>
      <c r="F589" s="4" t="s">
        <v>1930</v>
      </c>
    </row>
    <row r="590" spans="1:6" x14ac:dyDescent="0.25">
      <c r="A590" s="4" t="s">
        <v>256</v>
      </c>
      <c r="B590">
        <v>589</v>
      </c>
      <c r="C590" s="4" t="s">
        <v>1086</v>
      </c>
      <c r="D590" s="5" t="s">
        <v>302</v>
      </c>
      <c r="E590" s="4" t="s">
        <v>302</v>
      </c>
      <c r="F590" s="4" t="s">
        <v>302</v>
      </c>
    </row>
    <row r="591" spans="1:6" x14ac:dyDescent="0.25">
      <c r="A591" s="4" t="s">
        <v>256</v>
      </c>
      <c r="B591">
        <v>590</v>
      </c>
      <c r="C591" s="4" t="s">
        <v>1087</v>
      </c>
      <c r="D591" s="5" t="s">
        <v>2589</v>
      </c>
      <c r="E591" s="4" t="s">
        <v>1088</v>
      </c>
      <c r="F591" s="4" t="s">
        <v>1931</v>
      </c>
    </row>
    <row r="592" spans="1:6" x14ac:dyDescent="0.25">
      <c r="A592" s="4" t="s">
        <v>256</v>
      </c>
      <c r="B592">
        <v>591</v>
      </c>
      <c r="C592" s="4" t="s">
        <v>1089</v>
      </c>
      <c r="D592" s="5" t="s">
        <v>302</v>
      </c>
      <c r="E592" s="4" t="s">
        <v>302</v>
      </c>
      <c r="F592" s="4" t="s">
        <v>302</v>
      </c>
    </row>
    <row r="593" spans="1:6" x14ac:dyDescent="0.25">
      <c r="A593" s="4" t="s">
        <v>256</v>
      </c>
      <c r="B593">
        <v>592</v>
      </c>
      <c r="C593" s="4" t="s">
        <v>1090</v>
      </c>
      <c r="D593" s="5" t="s">
        <v>2617</v>
      </c>
      <c r="E593" s="4" t="s">
        <v>1091</v>
      </c>
      <c r="F593" s="4" t="s">
        <v>1932</v>
      </c>
    </row>
    <row r="594" spans="1:6" x14ac:dyDescent="0.25">
      <c r="A594" s="4" t="s">
        <v>256</v>
      </c>
      <c r="B594">
        <v>593</v>
      </c>
      <c r="C594" s="4" t="s">
        <v>1092</v>
      </c>
      <c r="D594" s="5" t="s">
        <v>2399</v>
      </c>
      <c r="E594" s="4" t="s">
        <v>1093</v>
      </c>
      <c r="F594" s="4" t="s">
        <v>1933</v>
      </c>
    </row>
    <row r="595" spans="1:6" x14ac:dyDescent="0.25">
      <c r="A595" s="4" t="s">
        <v>256</v>
      </c>
      <c r="B595">
        <v>594</v>
      </c>
      <c r="C595" s="4" t="s">
        <v>1094</v>
      </c>
      <c r="D595" s="5" t="s">
        <v>302</v>
      </c>
      <c r="E595" s="4" t="s">
        <v>302</v>
      </c>
      <c r="F595" s="4" t="s">
        <v>302</v>
      </c>
    </row>
    <row r="596" spans="1:6" x14ac:dyDescent="0.25">
      <c r="A596" s="4" t="s">
        <v>256</v>
      </c>
      <c r="B596">
        <v>595</v>
      </c>
      <c r="C596" s="4" t="s">
        <v>1095</v>
      </c>
      <c r="D596" s="5" t="s">
        <v>2261</v>
      </c>
      <c r="E596" s="4" t="s">
        <v>1096</v>
      </c>
      <c r="F596" s="4" t="s">
        <v>1934</v>
      </c>
    </row>
    <row r="597" spans="1:6" x14ac:dyDescent="0.25">
      <c r="A597" s="4" t="s">
        <v>256</v>
      </c>
      <c r="B597">
        <v>596</v>
      </c>
      <c r="C597" s="4" t="s">
        <v>1097</v>
      </c>
      <c r="D597" s="5" t="s">
        <v>2273</v>
      </c>
      <c r="E597" s="4" t="s">
        <v>2300</v>
      </c>
      <c r="F597" s="4" t="s">
        <v>2301</v>
      </c>
    </row>
    <row r="598" spans="1:6" x14ac:dyDescent="0.25">
      <c r="A598" s="4" t="s">
        <v>256</v>
      </c>
      <c r="B598">
        <v>597</v>
      </c>
      <c r="C598" s="4" t="s">
        <v>1098</v>
      </c>
      <c r="D598" s="5" t="s">
        <v>302</v>
      </c>
      <c r="E598" s="4" t="s">
        <v>302</v>
      </c>
      <c r="F598" s="4" t="s">
        <v>302</v>
      </c>
    </row>
    <row r="599" spans="1:6" x14ac:dyDescent="0.25">
      <c r="A599" s="4" t="s">
        <v>256</v>
      </c>
      <c r="B599">
        <v>598</v>
      </c>
      <c r="C599" s="4" t="s">
        <v>1099</v>
      </c>
      <c r="D599" s="5" t="s">
        <v>302</v>
      </c>
      <c r="E599" s="4" t="s">
        <v>302</v>
      </c>
      <c r="F599" s="4" t="s">
        <v>302</v>
      </c>
    </row>
    <row r="600" spans="1:6" x14ac:dyDescent="0.25">
      <c r="A600" s="4" t="s">
        <v>256</v>
      </c>
      <c r="B600">
        <v>599</v>
      </c>
      <c r="C600" s="4" t="s">
        <v>1100</v>
      </c>
      <c r="D600" s="5" t="s">
        <v>302</v>
      </c>
      <c r="E600" s="4" t="s">
        <v>302</v>
      </c>
      <c r="F600" s="4" t="s">
        <v>302</v>
      </c>
    </row>
    <row r="601" spans="1:6" x14ac:dyDescent="0.25">
      <c r="A601" s="4" t="s">
        <v>256</v>
      </c>
      <c r="B601">
        <v>600</v>
      </c>
      <c r="C601" s="4" t="s">
        <v>1101</v>
      </c>
      <c r="D601" s="5" t="s">
        <v>2837</v>
      </c>
      <c r="E601" s="4" t="s">
        <v>1102</v>
      </c>
      <c r="F601" s="4" t="s">
        <v>1102</v>
      </c>
    </row>
    <row r="602" spans="1:6" x14ac:dyDescent="0.25">
      <c r="A602" s="4" t="s">
        <v>256</v>
      </c>
      <c r="B602">
        <v>601</v>
      </c>
      <c r="C602" s="4" t="s">
        <v>1103</v>
      </c>
      <c r="D602" s="5" t="s">
        <v>2838</v>
      </c>
      <c r="E602" s="4" t="s">
        <v>1104</v>
      </c>
      <c r="F602" s="4" t="s">
        <v>1935</v>
      </c>
    </row>
    <row r="603" spans="1:6" x14ac:dyDescent="0.25">
      <c r="A603" s="4" t="s">
        <v>256</v>
      </c>
      <c r="B603">
        <v>602</v>
      </c>
      <c r="C603" s="4" t="s">
        <v>1105</v>
      </c>
      <c r="D603" s="5" t="s">
        <v>595</v>
      </c>
      <c r="E603" s="4" t="s">
        <v>1106</v>
      </c>
      <c r="F603" s="4" t="s">
        <v>1936</v>
      </c>
    </row>
    <row r="604" spans="1:6" x14ac:dyDescent="0.25">
      <c r="A604" s="4" t="s">
        <v>256</v>
      </c>
      <c r="B604">
        <v>603</v>
      </c>
      <c r="C604" s="4" t="s">
        <v>1107</v>
      </c>
      <c r="D604" s="5" t="s">
        <v>302</v>
      </c>
      <c r="E604" s="4" t="s">
        <v>302</v>
      </c>
      <c r="F604" s="4" t="s">
        <v>302</v>
      </c>
    </row>
    <row r="605" spans="1:6" x14ac:dyDescent="0.25">
      <c r="A605" s="4" t="s">
        <v>256</v>
      </c>
      <c r="B605">
        <v>604</v>
      </c>
      <c r="C605" s="4" t="s">
        <v>1108</v>
      </c>
      <c r="D605" s="5" t="s">
        <v>302</v>
      </c>
      <c r="E605" s="4" t="s">
        <v>302</v>
      </c>
      <c r="F605" s="4" t="s">
        <v>302</v>
      </c>
    </row>
    <row r="606" spans="1:6" x14ac:dyDescent="0.25">
      <c r="A606" s="4" t="s">
        <v>256</v>
      </c>
      <c r="B606">
        <v>605</v>
      </c>
      <c r="C606" s="4" t="s">
        <v>1109</v>
      </c>
      <c r="D606" s="5" t="s">
        <v>302</v>
      </c>
      <c r="E606" s="4" t="s">
        <v>302</v>
      </c>
      <c r="F606" s="4" t="s">
        <v>302</v>
      </c>
    </row>
    <row r="607" spans="1:6" x14ac:dyDescent="0.25">
      <c r="A607" s="4" t="s">
        <v>256</v>
      </c>
      <c r="B607">
        <v>606</v>
      </c>
      <c r="C607" s="4" t="s">
        <v>1110</v>
      </c>
      <c r="D607" s="5" t="s">
        <v>302</v>
      </c>
      <c r="E607" s="4" t="s">
        <v>302</v>
      </c>
      <c r="F607" s="4" t="s">
        <v>302</v>
      </c>
    </row>
    <row r="608" spans="1:6" x14ac:dyDescent="0.25">
      <c r="A608" s="4" t="s">
        <v>256</v>
      </c>
      <c r="B608">
        <v>607</v>
      </c>
      <c r="C608" s="4" t="s">
        <v>1111</v>
      </c>
      <c r="D608" s="5" t="s">
        <v>302</v>
      </c>
      <c r="E608" s="4" t="s">
        <v>302</v>
      </c>
      <c r="F608" s="4" t="s">
        <v>302</v>
      </c>
    </row>
    <row r="609" spans="1:6" x14ac:dyDescent="0.25">
      <c r="A609" s="4" t="s">
        <v>256</v>
      </c>
      <c r="B609">
        <v>608</v>
      </c>
      <c r="C609" s="4" t="s">
        <v>1112</v>
      </c>
      <c r="D609" s="5" t="s">
        <v>2839</v>
      </c>
      <c r="E609" s="4" t="s">
        <v>1113</v>
      </c>
      <c r="F609" s="4" t="s">
        <v>1937</v>
      </c>
    </row>
    <row r="610" spans="1:6" x14ac:dyDescent="0.25">
      <c r="A610" s="4" t="s">
        <v>256</v>
      </c>
      <c r="B610">
        <v>609</v>
      </c>
      <c r="C610" s="4" t="s">
        <v>1114</v>
      </c>
      <c r="D610" s="5" t="s">
        <v>302</v>
      </c>
      <c r="E610" s="4" t="s">
        <v>302</v>
      </c>
      <c r="F610" s="4" t="s">
        <v>302</v>
      </c>
    </row>
    <row r="611" spans="1:6" x14ac:dyDescent="0.25">
      <c r="A611" s="4" t="s">
        <v>256</v>
      </c>
      <c r="B611">
        <v>610</v>
      </c>
      <c r="C611" s="4" t="s">
        <v>1115</v>
      </c>
      <c r="D611" s="5" t="s">
        <v>2567</v>
      </c>
      <c r="E611" s="4" t="s">
        <v>1116</v>
      </c>
      <c r="F611" s="4" t="s">
        <v>1938</v>
      </c>
    </row>
    <row r="612" spans="1:6" x14ac:dyDescent="0.25">
      <c r="A612" s="4" t="s">
        <v>256</v>
      </c>
      <c r="B612">
        <v>611</v>
      </c>
      <c r="C612" s="4" t="s">
        <v>1117</v>
      </c>
      <c r="D612" s="5" t="s">
        <v>2840</v>
      </c>
      <c r="E612" s="4" t="s">
        <v>1118</v>
      </c>
      <c r="F612" s="4" t="s">
        <v>1939</v>
      </c>
    </row>
    <row r="613" spans="1:6" x14ac:dyDescent="0.25">
      <c r="A613" s="4" t="s">
        <v>256</v>
      </c>
      <c r="B613">
        <v>612</v>
      </c>
      <c r="C613" s="4" t="s">
        <v>1119</v>
      </c>
      <c r="D613" s="5" t="s">
        <v>302</v>
      </c>
      <c r="E613" s="4" t="s">
        <v>302</v>
      </c>
      <c r="F613" s="4" t="s">
        <v>302</v>
      </c>
    </row>
    <row r="614" spans="1:6" x14ac:dyDescent="0.25">
      <c r="A614" s="4" t="s">
        <v>256</v>
      </c>
      <c r="B614">
        <v>613</v>
      </c>
      <c r="C614" s="4" t="s">
        <v>1120</v>
      </c>
      <c r="D614" s="5" t="s">
        <v>2614</v>
      </c>
      <c r="E614" s="4" t="s">
        <v>1121</v>
      </c>
      <c r="F614" s="4" t="s">
        <v>1940</v>
      </c>
    </row>
    <row r="615" spans="1:6" x14ac:dyDescent="0.25">
      <c r="A615" s="4" t="s">
        <v>256</v>
      </c>
      <c r="B615">
        <v>614</v>
      </c>
      <c r="C615" s="4" t="s">
        <v>1122</v>
      </c>
      <c r="D615" s="5" t="s">
        <v>2621</v>
      </c>
      <c r="E615" s="4" t="s">
        <v>1123</v>
      </c>
      <c r="F615" s="4" t="s">
        <v>1941</v>
      </c>
    </row>
    <row r="616" spans="1:6" x14ac:dyDescent="0.25">
      <c r="A616" s="4" t="s">
        <v>256</v>
      </c>
      <c r="B616">
        <v>615</v>
      </c>
      <c r="C616" s="4" t="s">
        <v>1124</v>
      </c>
      <c r="D616" s="5" t="s">
        <v>302</v>
      </c>
      <c r="E616" s="4" t="s">
        <v>302</v>
      </c>
      <c r="F616" s="4" t="s">
        <v>302</v>
      </c>
    </row>
    <row r="617" spans="1:6" x14ac:dyDescent="0.25">
      <c r="A617" s="4" t="s">
        <v>256</v>
      </c>
      <c r="B617">
        <v>616</v>
      </c>
      <c r="C617" s="4" t="s">
        <v>1125</v>
      </c>
      <c r="D617" s="5" t="s">
        <v>2841</v>
      </c>
      <c r="E617" s="4" t="s">
        <v>1126</v>
      </c>
      <c r="F617" s="4" t="s">
        <v>1942</v>
      </c>
    </row>
    <row r="618" spans="1:6" x14ac:dyDescent="0.25">
      <c r="A618" s="4" t="s">
        <v>256</v>
      </c>
      <c r="B618">
        <v>617</v>
      </c>
      <c r="C618" s="4" t="s">
        <v>1127</v>
      </c>
      <c r="D618" s="5" t="s">
        <v>302</v>
      </c>
      <c r="E618" s="4" t="s">
        <v>302</v>
      </c>
      <c r="F618" s="4" t="s">
        <v>302</v>
      </c>
    </row>
    <row r="619" spans="1:6" x14ac:dyDescent="0.25">
      <c r="A619" s="4" t="s">
        <v>256</v>
      </c>
      <c r="B619">
        <v>618</v>
      </c>
      <c r="C619" s="4" t="s">
        <v>1128</v>
      </c>
      <c r="D619" s="5" t="s">
        <v>302</v>
      </c>
      <c r="E619" s="4" t="s">
        <v>302</v>
      </c>
      <c r="F619" s="4" t="s">
        <v>302</v>
      </c>
    </row>
    <row r="620" spans="1:6" x14ac:dyDescent="0.25">
      <c r="A620" s="4" t="s">
        <v>256</v>
      </c>
      <c r="B620">
        <v>619</v>
      </c>
      <c r="C620" s="4" t="s">
        <v>1129</v>
      </c>
      <c r="D620" s="5" t="s">
        <v>302</v>
      </c>
      <c r="E620" s="4" t="s">
        <v>302</v>
      </c>
      <c r="F620" s="4" t="s">
        <v>302</v>
      </c>
    </row>
    <row r="621" spans="1:6" x14ac:dyDescent="0.25">
      <c r="A621" s="4" t="s">
        <v>256</v>
      </c>
      <c r="B621">
        <v>620</v>
      </c>
      <c r="C621" s="4" t="s">
        <v>1130</v>
      </c>
      <c r="D621" s="5" t="s">
        <v>2842</v>
      </c>
      <c r="E621" s="4" t="s">
        <v>1131</v>
      </c>
      <c r="F621" s="4" t="s">
        <v>1943</v>
      </c>
    </row>
    <row r="622" spans="1:6" x14ac:dyDescent="0.25">
      <c r="A622" s="4" t="s">
        <v>256</v>
      </c>
      <c r="B622">
        <v>621</v>
      </c>
      <c r="C622" s="4" t="s">
        <v>1132</v>
      </c>
      <c r="D622" s="5" t="s">
        <v>2843</v>
      </c>
      <c r="E622" s="4" t="s">
        <v>1133</v>
      </c>
      <c r="F622" s="4" t="s">
        <v>1944</v>
      </c>
    </row>
    <row r="623" spans="1:6" x14ac:dyDescent="0.25">
      <c r="A623" s="4" t="s">
        <v>256</v>
      </c>
      <c r="B623">
        <v>622</v>
      </c>
      <c r="C623" s="4" t="s">
        <v>1134</v>
      </c>
      <c r="D623" s="5" t="s">
        <v>2844</v>
      </c>
      <c r="E623" s="4" t="s">
        <v>1135</v>
      </c>
      <c r="F623" s="4" t="s">
        <v>1945</v>
      </c>
    </row>
    <row r="624" spans="1:6" x14ac:dyDescent="0.25">
      <c r="A624" s="4" t="s">
        <v>256</v>
      </c>
      <c r="B624">
        <v>623</v>
      </c>
      <c r="C624" s="4" t="s">
        <v>1136</v>
      </c>
      <c r="D624" s="5" t="s">
        <v>302</v>
      </c>
      <c r="E624" s="4" t="s">
        <v>302</v>
      </c>
      <c r="F624" s="4" t="s">
        <v>302</v>
      </c>
    </row>
    <row r="625" spans="1:6" x14ac:dyDescent="0.25">
      <c r="A625" s="4" t="s">
        <v>256</v>
      </c>
      <c r="B625">
        <v>624</v>
      </c>
      <c r="C625" s="4" t="s">
        <v>1137</v>
      </c>
      <c r="D625" s="5" t="s">
        <v>302</v>
      </c>
      <c r="E625" s="4" t="s">
        <v>302</v>
      </c>
      <c r="F625" s="4" t="s">
        <v>302</v>
      </c>
    </row>
    <row r="626" spans="1:6" x14ac:dyDescent="0.25">
      <c r="A626" s="4" t="s">
        <v>256</v>
      </c>
      <c r="B626">
        <v>625</v>
      </c>
      <c r="C626" s="4" t="s">
        <v>1138</v>
      </c>
      <c r="D626" s="5" t="s">
        <v>2845</v>
      </c>
      <c r="E626" s="4" t="s">
        <v>1139</v>
      </c>
      <c r="F626" s="4" t="s">
        <v>1946</v>
      </c>
    </row>
    <row r="627" spans="1:6" x14ac:dyDescent="0.25">
      <c r="A627" s="4" t="s">
        <v>256</v>
      </c>
      <c r="B627">
        <v>626</v>
      </c>
      <c r="C627" s="4" t="s">
        <v>1140</v>
      </c>
      <c r="D627" s="5" t="s">
        <v>302</v>
      </c>
      <c r="E627" s="4" t="s">
        <v>302</v>
      </c>
      <c r="F627" s="4" t="s">
        <v>302</v>
      </c>
    </row>
    <row r="628" spans="1:6" x14ac:dyDescent="0.25">
      <c r="A628" s="4" t="s">
        <v>256</v>
      </c>
      <c r="B628">
        <v>627</v>
      </c>
      <c r="C628" s="4" t="s">
        <v>1141</v>
      </c>
      <c r="D628" s="5" t="s">
        <v>2846</v>
      </c>
      <c r="E628" s="4" t="s">
        <v>1647</v>
      </c>
      <c r="F628" s="4" t="s">
        <v>1947</v>
      </c>
    </row>
    <row r="629" spans="1:6" x14ac:dyDescent="0.25">
      <c r="A629" s="4" t="s">
        <v>256</v>
      </c>
      <c r="B629">
        <v>628</v>
      </c>
      <c r="C629" s="4" t="s">
        <v>1142</v>
      </c>
      <c r="D629" s="5" t="s">
        <v>2847</v>
      </c>
      <c r="E629" s="4" t="s">
        <v>1143</v>
      </c>
      <c r="F629" s="4" t="s">
        <v>1948</v>
      </c>
    </row>
    <row r="630" spans="1:6" x14ac:dyDescent="0.25">
      <c r="A630" s="4" t="s">
        <v>256</v>
      </c>
      <c r="B630">
        <v>629</v>
      </c>
      <c r="C630" s="4" t="s">
        <v>1144</v>
      </c>
      <c r="D630" s="5" t="s">
        <v>302</v>
      </c>
      <c r="E630" s="4" t="s">
        <v>302</v>
      </c>
      <c r="F630" s="4" t="s">
        <v>302</v>
      </c>
    </row>
    <row r="631" spans="1:6" x14ac:dyDescent="0.25">
      <c r="A631" s="4" t="s">
        <v>256</v>
      </c>
      <c r="B631">
        <v>630</v>
      </c>
      <c r="C631" s="4" t="s">
        <v>1145</v>
      </c>
      <c r="D631" s="5" t="s">
        <v>2848</v>
      </c>
      <c r="E631" s="4" t="s">
        <v>1146</v>
      </c>
      <c r="F631" s="4" t="s">
        <v>1949</v>
      </c>
    </row>
    <row r="632" spans="1:6" x14ac:dyDescent="0.25">
      <c r="A632" s="4" t="s">
        <v>256</v>
      </c>
      <c r="B632">
        <v>631</v>
      </c>
      <c r="C632" s="4" t="s">
        <v>1147</v>
      </c>
      <c r="D632" s="5" t="s">
        <v>302</v>
      </c>
      <c r="E632" s="4" t="s">
        <v>302</v>
      </c>
      <c r="F632" s="4" t="s">
        <v>302</v>
      </c>
    </row>
    <row r="633" spans="1:6" x14ac:dyDescent="0.25">
      <c r="A633" s="4" t="s">
        <v>256</v>
      </c>
      <c r="B633">
        <v>632</v>
      </c>
      <c r="C633" s="4" t="s">
        <v>1148</v>
      </c>
      <c r="D633" s="5" t="s">
        <v>302</v>
      </c>
      <c r="E633" s="4" t="s">
        <v>302</v>
      </c>
      <c r="F633" s="4" t="s">
        <v>302</v>
      </c>
    </row>
    <row r="634" spans="1:6" x14ac:dyDescent="0.25">
      <c r="A634" s="4" t="s">
        <v>256</v>
      </c>
      <c r="B634">
        <v>633</v>
      </c>
      <c r="C634" s="4" t="s">
        <v>1149</v>
      </c>
      <c r="D634" s="5" t="s">
        <v>2849</v>
      </c>
      <c r="E634" s="4" t="s">
        <v>1150</v>
      </c>
      <c r="F634" s="4" t="s">
        <v>1950</v>
      </c>
    </row>
    <row r="635" spans="1:6" x14ac:dyDescent="0.25">
      <c r="A635" s="4" t="s">
        <v>256</v>
      </c>
      <c r="B635">
        <v>634</v>
      </c>
      <c r="C635" s="4" t="s">
        <v>1151</v>
      </c>
      <c r="D635" s="5" t="s">
        <v>2608</v>
      </c>
      <c r="E635" s="4" t="s">
        <v>1152</v>
      </c>
      <c r="F635" s="4" t="s">
        <v>1951</v>
      </c>
    </row>
    <row r="636" spans="1:6" x14ac:dyDescent="0.25">
      <c r="A636" s="4" t="s">
        <v>256</v>
      </c>
      <c r="B636">
        <v>635</v>
      </c>
      <c r="C636" s="4" t="s">
        <v>1153</v>
      </c>
      <c r="D636" s="5" t="s">
        <v>2850</v>
      </c>
      <c r="E636" s="4" t="s">
        <v>1154</v>
      </c>
      <c r="F636" s="4" t="s">
        <v>1952</v>
      </c>
    </row>
    <row r="637" spans="1:6" x14ac:dyDescent="0.25">
      <c r="A637" s="4" t="s">
        <v>256</v>
      </c>
      <c r="B637">
        <v>636</v>
      </c>
      <c r="C637" s="4" t="s">
        <v>1155</v>
      </c>
      <c r="D637" s="5" t="s">
        <v>2851</v>
      </c>
      <c r="E637" s="4" t="s">
        <v>1156</v>
      </c>
      <c r="F637" s="4" t="s">
        <v>1953</v>
      </c>
    </row>
    <row r="638" spans="1:6" x14ac:dyDescent="0.25">
      <c r="A638" s="4" t="s">
        <v>256</v>
      </c>
      <c r="B638">
        <v>637</v>
      </c>
      <c r="C638" s="4" t="s">
        <v>267</v>
      </c>
      <c r="D638" s="5" t="s">
        <v>2644</v>
      </c>
      <c r="E638" s="4" t="s">
        <v>268</v>
      </c>
      <c r="F638" s="4" t="s">
        <v>1678</v>
      </c>
    </row>
    <row r="639" spans="1:6" x14ac:dyDescent="0.25">
      <c r="A639" s="4" t="s">
        <v>256</v>
      </c>
      <c r="B639">
        <v>638</v>
      </c>
      <c r="C639" s="4" t="s">
        <v>1157</v>
      </c>
      <c r="D639" s="5" t="s">
        <v>302</v>
      </c>
      <c r="E639" s="4" t="s">
        <v>302</v>
      </c>
      <c r="F639" s="4" t="s">
        <v>302</v>
      </c>
    </row>
    <row r="640" spans="1:6" x14ac:dyDescent="0.25">
      <c r="A640" s="4" t="s">
        <v>256</v>
      </c>
      <c r="B640">
        <v>639</v>
      </c>
      <c r="C640" s="4" t="s">
        <v>1158</v>
      </c>
      <c r="D640" s="5" t="s">
        <v>2564</v>
      </c>
      <c r="E640" s="4" t="s">
        <v>1159</v>
      </c>
      <c r="F640" s="4" t="s">
        <v>1954</v>
      </c>
    </row>
    <row r="641" spans="1:6" x14ac:dyDescent="0.25">
      <c r="A641" s="4" t="s">
        <v>256</v>
      </c>
      <c r="B641">
        <v>640</v>
      </c>
      <c r="C641" s="4" t="s">
        <v>1160</v>
      </c>
      <c r="D641" s="5" t="s">
        <v>302</v>
      </c>
      <c r="E641" s="4" t="s">
        <v>302</v>
      </c>
      <c r="F641" s="4" t="s">
        <v>302</v>
      </c>
    </row>
    <row r="642" spans="1:6" x14ac:dyDescent="0.25">
      <c r="A642" s="4" t="s">
        <v>256</v>
      </c>
      <c r="B642">
        <v>641</v>
      </c>
      <c r="C642" s="4" t="s">
        <v>1161</v>
      </c>
      <c r="D642" s="5" t="s">
        <v>302</v>
      </c>
      <c r="E642" s="4" t="s">
        <v>302</v>
      </c>
      <c r="F642" s="4" t="s">
        <v>302</v>
      </c>
    </row>
    <row r="643" spans="1:6" x14ac:dyDescent="0.25">
      <c r="A643" s="4" t="s">
        <v>256</v>
      </c>
      <c r="B643">
        <v>642</v>
      </c>
      <c r="C643" s="4" t="s">
        <v>1162</v>
      </c>
      <c r="D643" s="5" t="s">
        <v>2852</v>
      </c>
      <c r="E643" s="4" t="s">
        <v>1163</v>
      </c>
      <c r="F643" s="4" t="s">
        <v>1955</v>
      </c>
    </row>
    <row r="644" spans="1:6" x14ac:dyDescent="0.25">
      <c r="A644" s="4" t="s">
        <v>256</v>
      </c>
      <c r="B644">
        <v>643</v>
      </c>
      <c r="C644" s="4" t="s">
        <v>1164</v>
      </c>
      <c r="D644" s="5" t="s">
        <v>2853</v>
      </c>
      <c r="E644" s="4" t="s">
        <v>1648</v>
      </c>
      <c r="F644" s="4" t="s">
        <v>1956</v>
      </c>
    </row>
    <row r="645" spans="1:6" x14ac:dyDescent="0.25">
      <c r="A645" s="4" t="s">
        <v>256</v>
      </c>
      <c r="B645">
        <v>644</v>
      </c>
      <c r="C645" s="4" t="s">
        <v>1165</v>
      </c>
      <c r="D645" s="5" t="s">
        <v>302</v>
      </c>
      <c r="E645" s="4" t="s">
        <v>302</v>
      </c>
      <c r="F645" s="4" t="s">
        <v>302</v>
      </c>
    </row>
    <row r="646" spans="1:6" x14ac:dyDescent="0.25">
      <c r="A646" s="4" t="s">
        <v>256</v>
      </c>
      <c r="B646">
        <v>645</v>
      </c>
      <c r="C646" s="4" t="s">
        <v>1166</v>
      </c>
      <c r="D646" s="5" t="s">
        <v>2854</v>
      </c>
      <c r="E646" s="4" t="s">
        <v>1167</v>
      </c>
      <c r="F646" s="4" t="s">
        <v>1957</v>
      </c>
    </row>
    <row r="647" spans="1:6" x14ac:dyDescent="0.25">
      <c r="A647" s="4" t="s">
        <v>256</v>
      </c>
      <c r="B647">
        <v>646</v>
      </c>
      <c r="C647" s="4" t="s">
        <v>1168</v>
      </c>
      <c r="D647" s="5" t="s">
        <v>2565</v>
      </c>
      <c r="E647" s="4" t="s">
        <v>1169</v>
      </c>
      <c r="F647" s="4" t="s">
        <v>1958</v>
      </c>
    </row>
    <row r="648" spans="1:6" x14ac:dyDescent="0.25">
      <c r="A648" s="4" t="s">
        <v>256</v>
      </c>
      <c r="B648">
        <v>647</v>
      </c>
      <c r="C648" s="4" t="s">
        <v>1170</v>
      </c>
      <c r="D648" s="5" t="s">
        <v>2855</v>
      </c>
      <c r="E648" s="4" t="s">
        <v>1171</v>
      </c>
      <c r="F648" s="4" t="s">
        <v>1959</v>
      </c>
    </row>
    <row r="649" spans="1:6" x14ac:dyDescent="0.25">
      <c r="A649" s="4" t="s">
        <v>256</v>
      </c>
      <c r="B649">
        <v>648</v>
      </c>
      <c r="C649" s="4" t="s">
        <v>1172</v>
      </c>
      <c r="D649" s="5" t="s">
        <v>2856</v>
      </c>
      <c r="E649" s="4" t="s">
        <v>1173</v>
      </c>
      <c r="F649" s="4" t="s">
        <v>1960</v>
      </c>
    </row>
    <row r="650" spans="1:6" x14ac:dyDescent="0.25">
      <c r="A650" s="4" t="s">
        <v>256</v>
      </c>
      <c r="B650">
        <v>649</v>
      </c>
      <c r="C650" s="4" t="s">
        <v>1174</v>
      </c>
      <c r="D650" s="5" t="s">
        <v>2608</v>
      </c>
      <c r="E650" s="4" t="s">
        <v>1175</v>
      </c>
      <c r="F650" s="4" t="s">
        <v>1961</v>
      </c>
    </row>
    <row r="651" spans="1:6" x14ac:dyDescent="0.25">
      <c r="A651" s="4" t="s">
        <v>256</v>
      </c>
      <c r="B651">
        <v>650</v>
      </c>
      <c r="C651" s="4" t="s">
        <v>1176</v>
      </c>
      <c r="D651" s="5" t="s">
        <v>302</v>
      </c>
      <c r="E651" s="4" t="s">
        <v>302</v>
      </c>
      <c r="F651" s="4" t="s">
        <v>302</v>
      </c>
    </row>
    <row r="652" spans="1:6" x14ac:dyDescent="0.25">
      <c r="A652" s="4" t="s">
        <v>256</v>
      </c>
      <c r="B652">
        <v>651</v>
      </c>
      <c r="C652" s="4" t="s">
        <v>1177</v>
      </c>
      <c r="D652" s="5" t="s">
        <v>2857</v>
      </c>
      <c r="E652" s="4" t="s">
        <v>1178</v>
      </c>
      <c r="F652" s="4" t="s">
        <v>1962</v>
      </c>
    </row>
    <row r="653" spans="1:6" x14ac:dyDescent="0.25">
      <c r="A653" s="4" t="s">
        <v>256</v>
      </c>
      <c r="B653">
        <v>652</v>
      </c>
      <c r="C653" s="4" t="s">
        <v>1179</v>
      </c>
      <c r="D653" s="5" t="s">
        <v>302</v>
      </c>
      <c r="E653" s="4" t="s">
        <v>302</v>
      </c>
      <c r="F653" s="4" t="s">
        <v>302</v>
      </c>
    </row>
    <row r="654" spans="1:6" x14ac:dyDescent="0.25">
      <c r="A654" s="4" t="s">
        <v>256</v>
      </c>
      <c r="B654">
        <v>653</v>
      </c>
      <c r="C654" s="4" t="s">
        <v>1180</v>
      </c>
      <c r="D654" s="5" t="s">
        <v>2858</v>
      </c>
      <c r="E654" s="4" t="s">
        <v>1181</v>
      </c>
      <c r="F654" s="4" t="s">
        <v>1963</v>
      </c>
    </row>
    <row r="655" spans="1:6" x14ac:dyDescent="0.25">
      <c r="A655" s="4" t="s">
        <v>256</v>
      </c>
      <c r="B655">
        <v>654</v>
      </c>
      <c r="C655" s="4" t="s">
        <v>1182</v>
      </c>
      <c r="D655" s="5" t="s">
        <v>302</v>
      </c>
      <c r="E655" s="4" t="s">
        <v>302</v>
      </c>
      <c r="F655" s="4" t="s">
        <v>302</v>
      </c>
    </row>
    <row r="656" spans="1:6" x14ac:dyDescent="0.25">
      <c r="A656" s="4" t="s">
        <v>256</v>
      </c>
      <c r="B656">
        <v>655</v>
      </c>
      <c r="C656" s="4" t="s">
        <v>1183</v>
      </c>
      <c r="D656" s="5" t="s">
        <v>2610</v>
      </c>
      <c r="E656" s="4" t="s">
        <v>1184</v>
      </c>
      <c r="F656" s="4" t="s">
        <v>1964</v>
      </c>
    </row>
    <row r="657" spans="1:6" x14ac:dyDescent="0.25">
      <c r="A657" s="4" t="s">
        <v>256</v>
      </c>
      <c r="B657">
        <v>656</v>
      </c>
      <c r="C657" s="4" t="s">
        <v>1185</v>
      </c>
      <c r="D657" s="5" t="s">
        <v>2274</v>
      </c>
      <c r="E657" s="4" t="s">
        <v>2302</v>
      </c>
      <c r="F657" s="4" t="s">
        <v>2303</v>
      </c>
    </row>
    <row r="658" spans="1:6" x14ac:dyDescent="0.25">
      <c r="A658" s="4" t="s">
        <v>256</v>
      </c>
      <c r="B658">
        <v>657</v>
      </c>
      <c r="C658" s="4" t="s">
        <v>301</v>
      </c>
      <c r="D658" s="5" t="s">
        <v>302</v>
      </c>
      <c r="E658" s="4" t="s">
        <v>302</v>
      </c>
      <c r="F658" s="4" t="s">
        <v>302</v>
      </c>
    </row>
    <row r="659" spans="1:6" x14ac:dyDescent="0.25">
      <c r="A659" s="4" t="s">
        <v>256</v>
      </c>
      <c r="B659">
        <v>658</v>
      </c>
      <c r="C659" s="4" t="s">
        <v>1186</v>
      </c>
      <c r="D659" s="5" t="s">
        <v>302</v>
      </c>
      <c r="E659" s="4" t="s">
        <v>302</v>
      </c>
      <c r="F659" s="4" t="s">
        <v>302</v>
      </c>
    </row>
    <row r="660" spans="1:6" x14ac:dyDescent="0.25">
      <c r="A660" s="4" t="s">
        <v>256</v>
      </c>
      <c r="B660">
        <v>659</v>
      </c>
      <c r="C660" s="4" t="s">
        <v>1187</v>
      </c>
      <c r="D660" s="5" t="s">
        <v>2859</v>
      </c>
      <c r="E660" s="4" t="s">
        <v>1649</v>
      </c>
      <c r="F660" s="4" t="s">
        <v>1965</v>
      </c>
    </row>
    <row r="661" spans="1:6" x14ac:dyDescent="0.25">
      <c r="A661" s="4" t="s">
        <v>256</v>
      </c>
      <c r="B661">
        <v>660</v>
      </c>
      <c r="C661" s="4" t="s">
        <v>1188</v>
      </c>
      <c r="D661" s="5" t="s">
        <v>2860</v>
      </c>
      <c r="E661" s="4" t="s">
        <v>1189</v>
      </c>
      <c r="F661" s="4" t="s">
        <v>1966</v>
      </c>
    </row>
    <row r="662" spans="1:6" x14ac:dyDescent="0.25">
      <c r="A662" s="4" t="s">
        <v>256</v>
      </c>
      <c r="B662">
        <v>661</v>
      </c>
      <c r="C662" s="4" t="s">
        <v>1190</v>
      </c>
      <c r="D662" s="5" t="s">
        <v>2861</v>
      </c>
      <c r="E662" s="4" t="s">
        <v>1191</v>
      </c>
      <c r="F662" s="4" t="s">
        <v>1967</v>
      </c>
    </row>
    <row r="663" spans="1:6" x14ac:dyDescent="0.25">
      <c r="A663" s="4" t="s">
        <v>256</v>
      </c>
      <c r="B663">
        <v>662</v>
      </c>
      <c r="C663" s="4" t="s">
        <v>1192</v>
      </c>
      <c r="D663" s="5" t="s">
        <v>2862</v>
      </c>
      <c r="E663" s="4" t="s">
        <v>1193</v>
      </c>
      <c r="F663" s="4" t="s">
        <v>1968</v>
      </c>
    </row>
    <row r="664" spans="1:6" x14ac:dyDescent="0.25">
      <c r="A664" s="4" t="s">
        <v>256</v>
      </c>
      <c r="B664">
        <v>663</v>
      </c>
      <c r="C664" s="4" t="s">
        <v>1194</v>
      </c>
      <c r="D664" s="5" t="s">
        <v>302</v>
      </c>
      <c r="E664" s="4" t="s">
        <v>302</v>
      </c>
      <c r="F664" s="4" t="s">
        <v>302</v>
      </c>
    </row>
    <row r="665" spans="1:6" x14ac:dyDescent="0.25">
      <c r="A665" s="4" t="s">
        <v>256</v>
      </c>
      <c r="B665">
        <v>664</v>
      </c>
      <c r="C665" s="4" t="s">
        <v>1195</v>
      </c>
      <c r="D665" s="5" t="s">
        <v>302</v>
      </c>
      <c r="E665" s="4" t="s">
        <v>302</v>
      </c>
      <c r="F665" s="4" t="s">
        <v>302</v>
      </c>
    </row>
    <row r="666" spans="1:6" x14ac:dyDescent="0.25">
      <c r="A666" s="4" t="s">
        <v>256</v>
      </c>
      <c r="B666">
        <v>665</v>
      </c>
      <c r="C666" s="4" t="s">
        <v>1196</v>
      </c>
      <c r="D666" s="5" t="s">
        <v>2297</v>
      </c>
      <c r="E666" s="4" t="s">
        <v>1197</v>
      </c>
      <c r="F666" s="4" t="s">
        <v>1969</v>
      </c>
    </row>
    <row r="667" spans="1:6" x14ac:dyDescent="0.25">
      <c r="A667" s="4" t="s">
        <v>256</v>
      </c>
      <c r="B667">
        <v>666</v>
      </c>
      <c r="C667" s="4" t="s">
        <v>1198</v>
      </c>
      <c r="D667" s="5" t="s">
        <v>2863</v>
      </c>
      <c r="E667" s="4" t="s">
        <v>1199</v>
      </c>
      <c r="F667" s="4" t="s">
        <v>1970</v>
      </c>
    </row>
    <row r="668" spans="1:6" x14ac:dyDescent="0.25">
      <c r="A668" s="4" t="s">
        <v>256</v>
      </c>
      <c r="B668">
        <v>667</v>
      </c>
      <c r="C668" s="4" t="s">
        <v>1200</v>
      </c>
      <c r="D668" s="5" t="s">
        <v>2864</v>
      </c>
      <c r="E668" s="4" t="s">
        <v>1201</v>
      </c>
      <c r="F668" s="4" t="s">
        <v>1971</v>
      </c>
    </row>
    <row r="669" spans="1:6" x14ac:dyDescent="0.25">
      <c r="A669" s="4" t="s">
        <v>256</v>
      </c>
      <c r="B669">
        <v>668</v>
      </c>
      <c r="C669" s="4" t="s">
        <v>1202</v>
      </c>
      <c r="D669" s="5" t="s">
        <v>2747</v>
      </c>
      <c r="E669" s="4" t="s">
        <v>2590</v>
      </c>
      <c r="F669" s="4" t="s">
        <v>2591</v>
      </c>
    </row>
    <row r="670" spans="1:6" x14ac:dyDescent="0.25">
      <c r="A670" s="4" t="s">
        <v>256</v>
      </c>
      <c r="B670">
        <v>669</v>
      </c>
      <c r="C670" s="4" t="s">
        <v>1203</v>
      </c>
      <c r="D670" s="5" t="s">
        <v>1640</v>
      </c>
      <c r="E670" s="4" t="s">
        <v>1204</v>
      </c>
      <c r="F670" s="4" t="s">
        <v>1972</v>
      </c>
    </row>
    <row r="671" spans="1:6" x14ac:dyDescent="0.25">
      <c r="A671" s="4" t="s">
        <v>256</v>
      </c>
      <c r="B671">
        <v>670</v>
      </c>
      <c r="C671" s="4" t="s">
        <v>1205</v>
      </c>
      <c r="D671" s="5" t="s">
        <v>2633</v>
      </c>
      <c r="E671" s="4" t="s">
        <v>1206</v>
      </c>
      <c r="F671" s="4" t="s">
        <v>1973</v>
      </c>
    </row>
    <row r="672" spans="1:6" x14ac:dyDescent="0.25">
      <c r="A672" s="4" t="s">
        <v>256</v>
      </c>
      <c r="B672">
        <v>671</v>
      </c>
      <c r="C672" s="4" t="s">
        <v>1207</v>
      </c>
      <c r="D672" s="5" t="s">
        <v>2865</v>
      </c>
      <c r="E672" s="4" t="s">
        <v>1208</v>
      </c>
      <c r="F672" s="4" t="s">
        <v>1208</v>
      </c>
    </row>
    <row r="673" spans="1:6" x14ac:dyDescent="0.25">
      <c r="A673" s="4" t="s">
        <v>256</v>
      </c>
      <c r="B673">
        <v>672</v>
      </c>
      <c r="C673" s="4" t="s">
        <v>1209</v>
      </c>
      <c r="D673" s="5" t="s">
        <v>302</v>
      </c>
      <c r="E673" s="4" t="s">
        <v>302</v>
      </c>
      <c r="F673" s="4" t="s">
        <v>302</v>
      </c>
    </row>
    <row r="674" spans="1:6" x14ac:dyDescent="0.25">
      <c r="A674" s="4" t="s">
        <v>256</v>
      </c>
      <c r="B674">
        <v>673</v>
      </c>
      <c r="C674" s="4" t="s">
        <v>1210</v>
      </c>
      <c r="D674" s="5" t="s">
        <v>302</v>
      </c>
      <c r="E674" s="4" t="s">
        <v>302</v>
      </c>
      <c r="F674" s="4" t="s">
        <v>302</v>
      </c>
    </row>
    <row r="675" spans="1:6" x14ac:dyDescent="0.25">
      <c r="A675" s="4" t="s">
        <v>256</v>
      </c>
      <c r="B675">
        <v>674</v>
      </c>
      <c r="C675" s="4" t="s">
        <v>1211</v>
      </c>
      <c r="D675" s="5" t="s">
        <v>2866</v>
      </c>
      <c r="E675" s="4" t="s">
        <v>1212</v>
      </c>
      <c r="F675" s="4" t="s">
        <v>1974</v>
      </c>
    </row>
    <row r="676" spans="1:6" x14ac:dyDescent="0.25">
      <c r="A676" s="4" t="s">
        <v>256</v>
      </c>
      <c r="B676">
        <v>675</v>
      </c>
      <c r="C676" s="4" t="s">
        <v>1213</v>
      </c>
      <c r="D676" s="5" t="s">
        <v>302</v>
      </c>
      <c r="E676" s="4" t="s">
        <v>302</v>
      </c>
      <c r="F676" s="4" t="s">
        <v>302</v>
      </c>
    </row>
    <row r="677" spans="1:6" x14ac:dyDescent="0.25">
      <c r="A677" s="4" t="s">
        <v>256</v>
      </c>
      <c r="B677">
        <v>676</v>
      </c>
      <c r="C677" s="4" t="s">
        <v>1214</v>
      </c>
      <c r="D677" s="5" t="s">
        <v>2567</v>
      </c>
      <c r="E677" s="4" t="s">
        <v>1215</v>
      </c>
      <c r="F677" s="4" t="s">
        <v>1975</v>
      </c>
    </row>
    <row r="678" spans="1:6" x14ac:dyDescent="0.25">
      <c r="A678" s="4" t="s">
        <v>256</v>
      </c>
      <c r="B678">
        <v>677</v>
      </c>
      <c r="C678" s="4" t="s">
        <v>1216</v>
      </c>
      <c r="D678" s="5" t="s">
        <v>302</v>
      </c>
      <c r="E678" s="4" t="s">
        <v>302</v>
      </c>
      <c r="F678" s="4" t="s">
        <v>302</v>
      </c>
    </row>
    <row r="679" spans="1:6" x14ac:dyDescent="0.25">
      <c r="A679" s="4" t="s">
        <v>256</v>
      </c>
      <c r="B679">
        <v>678</v>
      </c>
      <c r="C679" s="4" t="s">
        <v>1217</v>
      </c>
      <c r="D679" s="5" t="s">
        <v>302</v>
      </c>
      <c r="E679" s="4" t="s">
        <v>302</v>
      </c>
      <c r="F679" s="4" t="s">
        <v>302</v>
      </c>
    </row>
    <row r="680" spans="1:6" x14ac:dyDescent="0.25">
      <c r="A680" s="4" t="s">
        <v>256</v>
      </c>
      <c r="B680">
        <v>679</v>
      </c>
      <c r="C680" s="4" t="s">
        <v>1218</v>
      </c>
      <c r="D680" s="5" t="s">
        <v>2772</v>
      </c>
      <c r="E680" s="4" t="s">
        <v>1219</v>
      </c>
      <c r="F680" s="4" t="s">
        <v>1976</v>
      </c>
    </row>
    <row r="681" spans="1:6" x14ac:dyDescent="0.25">
      <c r="A681" s="4" t="s">
        <v>256</v>
      </c>
      <c r="B681">
        <v>680</v>
      </c>
      <c r="C681" s="4" t="s">
        <v>1220</v>
      </c>
      <c r="D681" s="5" t="s">
        <v>2867</v>
      </c>
      <c r="E681" s="4" t="s">
        <v>1221</v>
      </c>
      <c r="F681" s="4" t="s">
        <v>1977</v>
      </c>
    </row>
    <row r="682" spans="1:6" x14ac:dyDescent="0.25">
      <c r="A682" s="4" t="s">
        <v>256</v>
      </c>
      <c r="B682">
        <v>681</v>
      </c>
      <c r="C682" s="4" t="s">
        <v>1222</v>
      </c>
      <c r="D682" s="5" t="s">
        <v>302</v>
      </c>
      <c r="E682" s="4" t="s">
        <v>302</v>
      </c>
      <c r="F682" s="4" t="s">
        <v>302</v>
      </c>
    </row>
    <row r="683" spans="1:6" x14ac:dyDescent="0.25">
      <c r="A683" s="4" t="s">
        <v>256</v>
      </c>
      <c r="B683">
        <v>682</v>
      </c>
      <c r="C683" s="4" t="s">
        <v>1223</v>
      </c>
      <c r="D683" s="5" t="s">
        <v>302</v>
      </c>
      <c r="E683" s="4" t="s">
        <v>302</v>
      </c>
      <c r="F683" s="4" t="s">
        <v>302</v>
      </c>
    </row>
    <row r="684" spans="1:6" x14ac:dyDescent="0.25">
      <c r="A684" s="4" t="s">
        <v>256</v>
      </c>
      <c r="B684">
        <v>683</v>
      </c>
      <c r="C684" s="4" t="s">
        <v>1224</v>
      </c>
      <c r="D684" s="5" t="s">
        <v>2868</v>
      </c>
      <c r="E684" s="4" t="s">
        <v>1225</v>
      </c>
      <c r="F684" s="4" t="s">
        <v>1978</v>
      </c>
    </row>
    <row r="685" spans="1:6" x14ac:dyDescent="0.25">
      <c r="A685" s="4" t="s">
        <v>256</v>
      </c>
      <c r="B685">
        <v>684</v>
      </c>
      <c r="C685" s="4" t="s">
        <v>1226</v>
      </c>
      <c r="D685" s="5" t="s">
        <v>302</v>
      </c>
      <c r="E685" s="4" t="s">
        <v>302</v>
      </c>
      <c r="F685" s="4" t="s">
        <v>302</v>
      </c>
    </row>
    <row r="686" spans="1:6" x14ac:dyDescent="0.25">
      <c r="A686" s="4" t="s">
        <v>256</v>
      </c>
      <c r="B686">
        <v>685</v>
      </c>
      <c r="C686" s="4" t="s">
        <v>1227</v>
      </c>
      <c r="D686" s="5" t="s">
        <v>2869</v>
      </c>
      <c r="E686" s="4" t="s">
        <v>1228</v>
      </c>
      <c r="F686" s="4" t="s">
        <v>1979</v>
      </c>
    </row>
    <row r="687" spans="1:6" x14ac:dyDescent="0.25">
      <c r="A687" s="4" t="s">
        <v>256</v>
      </c>
      <c r="B687">
        <v>686</v>
      </c>
      <c r="C687" s="4" t="s">
        <v>1229</v>
      </c>
      <c r="D687" s="5" t="s">
        <v>2870</v>
      </c>
      <c r="E687" s="4" t="s">
        <v>1230</v>
      </c>
      <c r="F687" s="4" t="s">
        <v>1980</v>
      </c>
    </row>
    <row r="688" spans="1:6" x14ac:dyDescent="0.25">
      <c r="A688" s="4" t="s">
        <v>256</v>
      </c>
      <c r="B688">
        <v>687</v>
      </c>
      <c r="C688" s="4" t="s">
        <v>1231</v>
      </c>
      <c r="D688" s="5" t="s">
        <v>302</v>
      </c>
      <c r="E688" s="4" t="s">
        <v>302</v>
      </c>
      <c r="F688" s="4" t="s">
        <v>302</v>
      </c>
    </row>
    <row r="689" spans="1:6" x14ac:dyDescent="0.25">
      <c r="A689" s="4" t="s">
        <v>256</v>
      </c>
      <c r="B689">
        <v>688</v>
      </c>
      <c r="C689" s="4" t="s">
        <v>1232</v>
      </c>
      <c r="D689" s="5" t="s">
        <v>302</v>
      </c>
      <c r="E689" s="4" t="s">
        <v>302</v>
      </c>
      <c r="F689" s="4" t="s">
        <v>302</v>
      </c>
    </row>
    <row r="690" spans="1:6" x14ac:dyDescent="0.25">
      <c r="A690" s="4" t="s">
        <v>256</v>
      </c>
      <c r="B690">
        <v>689</v>
      </c>
      <c r="C690" s="4" t="s">
        <v>1233</v>
      </c>
      <c r="D690" s="5" t="s">
        <v>2393</v>
      </c>
      <c r="E690" s="4" t="s">
        <v>1234</v>
      </c>
      <c r="F690" s="4" t="s">
        <v>1981</v>
      </c>
    </row>
    <row r="691" spans="1:6" x14ac:dyDescent="0.25">
      <c r="A691" s="4" t="s">
        <v>256</v>
      </c>
      <c r="B691">
        <v>690</v>
      </c>
      <c r="C691" s="4" t="s">
        <v>1235</v>
      </c>
      <c r="D691" s="5" t="s">
        <v>302</v>
      </c>
      <c r="E691" s="4" t="s">
        <v>302</v>
      </c>
      <c r="F691" s="4" t="s">
        <v>302</v>
      </c>
    </row>
    <row r="692" spans="1:6" x14ac:dyDescent="0.25">
      <c r="A692" s="4" t="s">
        <v>256</v>
      </c>
      <c r="B692">
        <v>691</v>
      </c>
      <c r="C692" s="4" t="s">
        <v>1236</v>
      </c>
      <c r="D692" s="5" t="s">
        <v>302</v>
      </c>
      <c r="E692" s="4" t="s">
        <v>302</v>
      </c>
      <c r="F692" s="4" t="s">
        <v>302</v>
      </c>
    </row>
    <row r="693" spans="1:6" x14ac:dyDescent="0.25">
      <c r="A693" s="4" t="s">
        <v>256</v>
      </c>
      <c r="B693">
        <v>692</v>
      </c>
      <c r="C693" s="4" t="s">
        <v>1237</v>
      </c>
      <c r="D693" s="5" t="s">
        <v>2871</v>
      </c>
      <c r="E693" s="4" t="s">
        <v>1238</v>
      </c>
      <c r="F693" s="4" t="s">
        <v>1982</v>
      </c>
    </row>
    <row r="694" spans="1:6" x14ac:dyDescent="0.25">
      <c r="A694" s="4" t="s">
        <v>256</v>
      </c>
      <c r="B694">
        <v>693</v>
      </c>
      <c r="C694" s="4" t="s">
        <v>1239</v>
      </c>
      <c r="D694" s="5" t="s">
        <v>302</v>
      </c>
      <c r="E694" s="4" t="s">
        <v>302</v>
      </c>
      <c r="F694" s="4" t="s">
        <v>302</v>
      </c>
    </row>
    <row r="695" spans="1:6" x14ac:dyDescent="0.25">
      <c r="A695" s="4" t="s">
        <v>256</v>
      </c>
      <c r="B695">
        <v>694</v>
      </c>
      <c r="C695" s="4" t="s">
        <v>1240</v>
      </c>
      <c r="D695" s="5" t="s">
        <v>302</v>
      </c>
      <c r="E695" s="4" t="s">
        <v>302</v>
      </c>
      <c r="F695" s="4" t="s">
        <v>302</v>
      </c>
    </row>
    <row r="696" spans="1:6" x14ac:dyDescent="0.25">
      <c r="A696" s="4" t="s">
        <v>256</v>
      </c>
      <c r="B696">
        <v>695</v>
      </c>
      <c r="C696" s="4" t="s">
        <v>1241</v>
      </c>
      <c r="D696" s="5" t="s">
        <v>302</v>
      </c>
      <c r="E696" s="4" t="s">
        <v>302</v>
      </c>
      <c r="F696" s="4" t="s">
        <v>302</v>
      </c>
    </row>
    <row r="697" spans="1:6" x14ac:dyDescent="0.25">
      <c r="A697" s="4" t="s">
        <v>256</v>
      </c>
      <c r="B697">
        <v>696</v>
      </c>
      <c r="C697" s="4" t="s">
        <v>1242</v>
      </c>
      <c r="D697" s="5" t="s">
        <v>302</v>
      </c>
      <c r="E697" s="4" t="s">
        <v>302</v>
      </c>
      <c r="F697" s="4" t="s">
        <v>302</v>
      </c>
    </row>
    <row r="698" spans="1:6" x14ac:dyDescent="0.25">
      <c r="A698" s="4" t="s">
        <v>256</v>
      </c>
      <c r="B698">
        <v>697</v>
      </c>
      <c r="C698" s="4" t="s">
        <v>1243</v>
      </c>
      <c r="D698" s="5" t="s">
        <v>2865</v>
      </c>
      <c r="E698" s="4" t="s">
        <v>1244</v>
      </c>
      <c r="F698" s="4" t="s">
        <v>1983</v>
      </c>
    </row>
    <row r="699" spans="1:6" x14ac:dyDescent="0.25">
      <c r="A699" s="4" t="s">
        <v>256</v>
      </c>
      <c r="B699">
        <v>698</v>
      </c>
      <c r="C699" s="4" t="s">
        <v>1245</v>
      </c>
      <c r="D699" s="5" t="s">
        <v>2872</v>
      </c>
      <c r="E699" s="4" t="s">
        <v>1246</v>
      </c>
      <c r="F699" s="4" t="s">
        <v>1984</v>
      </c>
    </row>
    <row r="700" spans="1:6" x14ac:dyDescent="0.25">
      <c r="A700" s="4" t="s">
        <v>256</v>
      </c>
      <c r="B700">
        <v>699</v>
      </c>
      <c r="C700" s="4" t="s">
        <v>1247</v>
      </c>
      <c r="D700" s="5" t="s">
        <v>302</v>
      </c>
      <c r="E700" s="4" t="s">
        <v>302</v>
      </c>
      <c r="F700" s="4" t="s">
        <v>302</v>
      </c>
    </row>
    <row r="701" spans="1:6" x14ac:dyDescent="0.25">
      <c r="A701" s="4" t="s">
        <v>256</v>
      </c>
      <c r="B701">
        <v>700</v>
      </c>
      <c r="C701" s="4" t="s">
        <v>1248</v>
      </c>
      <c r="D701" s="5" t="s">
        <v>2873</v>
      </c>
      <c r="E701" s="4" t="s">
        <v>1249</v>
      </c>
      <c r="F701" s="4" t="s">
        <v>1985</v>
      </c>
    </row>
    <row r="702" spans="1:6" x14ac:dyDescent="0.25">
      <c r="A702" s="4" t="s">
        <v>256</v>
      </c>
      <c r="B702">
        <v>701</v>
      </c>
      <c r="C702" s="4" t="s">
        <v>1250</v>
      </c>
      <c r="D702" s="5" t="s">
        <v>2874</v>
      </c>
      <c r="E702" s="4" t="s">
        <v>1251</v>
      </c>
      <c r="F702" s="4" t="s">
        <v>1986</v>
      </c>
    </row>
    <row r="703" spans="1:6" x14ac:dyDescent="0.25">
      <c r="A703" s="4" t="s">
        <v>256</v>
      </c>
      <c r="B703">
        <v>702</v>
      </c>
      <c r="C703" s="4" t="s">
        <v>1252</v>
      </c>
      <c r="D703" s="5" t="s">
        <v>2566</v>
      </c>
      <c r="E703" s="4" t="s">
        <v>1253</v>
      </c>
      <c r="F703" s="4" t="s">
        <v>1987</v>
      </c>
    </row>
    <row r="704" spans="1:6" x14ac:dyDescent="0.25">
      <c r="A704" s="4" t="s">
        <v>256</v>
      </c>
      <c r="B704">
        <v>703</v>
      </c>
      <c r="C704" s="4" t="s">
        <v>1254</v>
      </c>
      <c r="D704" s="5" t="s">
        <v>2875</v>
      </c>
      <c r="E704" s="4" t="s">
        <v>1255</v>
      </c>
      <c r="F704" s="4" t="s">
        <v>1988</v>
      </c>
    </row>
    <row r="705" spans="1:6" x14ac:dyDescent="0.25">
      <c r="A705" s="4" t="s">
        <v>256</v>
      </c>
      <c r="B705">
        <v>704</v>
      </c>
      <c r="C705" s="4" t="s">
        <v>1256</v>
      </c>
      <c r="D705" s="5" t="s">
        <v>302</v>
      </c>
      <c r="E705" s="4" t="s">
        <v>302</v>
      </c>
      <c r="F705" s="4" t="s">
        <v>302</v>
      </c>
    </row>
    <row r="706" spans="1:6" x14ac:dyDescent="0.25">
      <c r="A706" s="4" t="s">
        <v>256</v>
      </c>
      <c r="B706">
        <v>705</v>
      </c>
      <c r="C706" s="4" t="s">
        <v>1257</v>
      </c>
      <c r="D706" s="5" t="s">
        <v>2876</v>
      </c>
      <c r="E706" s="4" t="s">
        <v>1258</v>
      </c>
      <c r="F706" s="4" t="s">
        <v>1989</v>
      </c>
    </row>
    <row r="707" spans="1:6" x14ac:dyDescent="0.25">
      <c r="A707" s="4" t="s">
        <v>256</v>
      </c>
      <c r="B707">
        <v>706</v>
      </c>
      <c r="C707" s="4" t="s">
        <v>1259</v>
      </c>
      <c r="D707" s="5" t="s">
        <v>2592</v>
      </c>
      <c r="E707" s="4" t="s">
        <v>1260</v>
      </c>
      <c r="F707" s="4" t="s">
        <v>1990</v>
      </c>
    </row>
    <row r="708" spans="1:6" x14ac:dyDescent="0.25">
      <c r="A708" s="4" t="s">
        <v>256</v>
      </c>
      <c r="B708">
        <v>707</v>
      </c>
      <c r="C708" s="4" t="s">
        <v>1261</v>
      </c>
      <c r="D708" s="5" t="s">
        <v>2593</v>
      </c>
      <c r="E708" s="4" t="s">
        <v>1262</v>
      </c>
      <c r="F708" s="4" t="s">
        <v>1991</v>
      </c>
    </row>
    <row r="709" spans="1:6" x14ac:dyDescent="0.25">
      <c r="A709" s="4" t="s">
        <v>256</v>
      </c>
      <c r="B709">
        <v>708</v>
      </c>
      <c r="C709" s="4" t="s">
        <v>1263</v>
      </c>
      <c r="D709" s="5" t="s">
        <v>2877</v>
      </c>
      <c r="E709" s="4" t="s">
        <v>1264</v>
      </c>
      <c r="F709" s="4" t="s">
        <v>1992</v>
      </c>
    </row>
    <row r="710" spans="1:6" x14ac:dyDescent="0.25">
      <c r="A710" s="4" t="s">
        <v>256</v>
      </c>
      <c r="B710">
        <v>709</v>
      </c>
      <c r="C710" s="4" t="s">
        <v>1265</v>
      </c>
      <c r="D710" s="5" t="s">
        <v>2398</v>
      </c>
      <c r="E710" s="4" t="s">
        <v>1266</v>
      </c>
      <c r="F710" s="4" t="s">
        <v>1993</v>
      </c>
    </row>
    <row r="711" spans="1:6" x14ac:dyDescent="0.25">
      <c r="A711" s="4" t="s">
        <v>256</v>
      </c>
      <c r="B711">
        <v>710</v>
      </c>
      <c r="C711" s="4" t="s">
        <v>1267</v>
      </c>
      <c r="D711" s="5" t="s">
        <v>2878</v>
      </c>
      <c r="E711" s="4" t="s">
        <v>1268</v>
      </c>
      <c r="F711" s="4" t="s">
        <v>1268</v>
      </c>
    </row>
    <row r="712" spans="1:6" x14ac:dyDescent="0.25">
      <c r="A712" s="4" t="s">
        <v>256</v>
      </c>
      <c r="B712">
        <v>711</v>
      </c>
      <c r="C712" s="4" t="s">
        <v>1269</v>
      </c>
      <c r="D712" s="5" t="s">
        <v>302</v>
      </c>
      <c r="E712" s="4" t="s">
        <v>302</v>
      </c>
      <c r="F712" s="4" t="s">
        <v>302</v>
      </c>
    </row>
    <row r="713" spans="1:6" x14ac:dyDescent="0.25">
      <c r="A713" s="4" t="s">
        <v>256</v>
      </c>
      <c r="B713">
        <v>712</v>
      </c>
      <c r="C713" s="4" t="s">
        <v>1270</v>
      </c>
      <c r="D713" s="5" t="s">
        <v>2879</v>
      </c>
      <c r="E713" s="4" t="s">
        <v>1271</v>
      </c>
      <c r="F713" s="4" t="s">
        <v>1994</v>
      </c>
    </row>
    <row r="714" spans="1:6" x14ac:dyDescent="0.25">
      <c r="A714" s="4" t="s">
        <v>256</v>
      </c>
      <c r="B714">
        <v>713</v>
      </c>
      <c r="C714" s="4" t="s">
        <v>1272</v>
      </c>
      <c r="D714" s="5" t="s">
        <v>2880</v>
      </c>
      <c r="E714" s="4" t="s">
        <v>1273</v>
      </c>
      <c r="F714" s="4" t="s">
        <v>1995</v>
      </c>
    </row>
    <row r="715" spans="1:6" x14ac:dyDescent="0.25">
      <c r="A715" s="4" t="s">
        <v>256</v>
      </c>
      <c r="B715">
        <v>714</v>
      </c>
      <c r="C715" s="4" t="s">
        <v>1274</v>
      </c>
      <c r="D715" s="5" t="s">
        <v>302</v>
      </c>
      <c r="E715" s="4" t="s">
        <v>302</v>
      </c>
      <c r="F715" s="4" t="s">
        <v>302</v>
      </c>
    </row>
    <row r="716" spans="1:6" x14ac:dyDescent="0.25">
      <c r="A716" s="4" t="s">
        <v>256</v>
      </c>
      <c r="B716">
        <v>715</v>
      </c>
      <c r="C716" s="4" t="s">
        <v>1275</v>
      </c>
      <c r="D716" s="5" t="s">
        <v>302</v>
      </c>
      <c r="E716" s="4" t="s">
        <v>302</v>
      </c>
      <c r="F716" s="4" t="s">
        <v>302</v>
      </c>
    </row>
    <row r="717" spans="1:6" x14ac:dyDescent="0.25">
      <c r="A717" s="4" t="s">
        <v>256</v>
      </c>
      <c r="B717">
        <v>716</v>
      </c>
      <c r="C717" s="4" t="s">
        <v>1276</v>
      </c>
      <c r="D717" s="5" t="s">
        <v>2594</v>
      </c>
      <c r="E717" s="4" t="s">
        <v>1277</v>
      </c>
      <c r="F717" s="4" t="s">
        <v>1996</v>
      </c>
    </row>
    <row r="718" spans="1:6" x14ac:dyDescent="0.25">
      <c r="A718" s="4" t="s">
        <v>256</v>
      </c>
      <c r="B718">
        <v>717</v>
      </c>
      <c r="C718" s="4" t="s">
        <v>1278</v>
      </c>
      <c r="D718" s="5" t="s">
        <v>2526</v>
      </c>
      <c r="E718" s="4" t="s">
        <v>1279</v>
      </c>
      <c r="F718" s="4" t="s">
        <v>1997</v>
      </c>
    </row>
    <row r="719" spans="1:6" x14ac:dyDescent="0.25">
      <c r="A719" s="4" t="s">
        <v>256</v>
      </c>
      <c r="B719">
        <v>718</v>
      </c>
      <c r="C719" s="4" t="s">
        <v>1280</v>
      </c>
      <c r="D719" s="5" t="s">
        <v>302</v>
      </c>
      <c r="E719" s="4" t="s">
        <v>302</v>
      </c>
      <c r="F719" s="4" t="s">
        <v>302</v>
      </c>
    </row>
    <row r="720" spans="1:6" x14ac:dyDescent="0.25">
      <c r="A720" s="4" t="s">
        <v>256</v>
      </c>
      <c r="B720">
        <v>719</v>
      </c>
      <c r="C720" s="4" t="s">
        <v>1281</v>
      </c>
      <c r="D720" s="5" t="s">
        <v>2881</v>
      </c>
      <c r="E720" s="4" t="s">
        <v>2285</v>
      </c>
      <c r="F720" s="4" t="s">
        <v>2286</v>
      </c>
    </row>
    <row r="721" spans="1:6" x14ac:dyDescent="0.25">
      <c r="A721" s="4" t="s">
        <v>256</v>
      </c>
      <c r="B721">
        <v>720</v>
      </c>
      <c r="C721" s="4" t="s">
        <v>1282</v>
      </c>
      <c r="D721" s="5" t="s">
        <v>302</v>
      </c>
      <c r="E721" s="4" t="s">
        <v>302</v>
      </c>
      <c r="F721" s="4" t="s">
        <v>302</v>
      </c>
    </row>
    <row r="722" spans="1:6" x14ac:dyDescent="0.25">
      <c r="A722" s="4" t="s">
        <v>256</v>
      </c>
      <c r="B722">
        <v>721</v>
      </c>
      <c r="C722" s="4" t="s">
        <v>1283</v>
      </c>
      <c r="D722" s="5" t="s">
        <v>2882</v>
      </c>
      <c r="E722" s="4" t="s">
        <v>1284</v>
      </c>
      <c r="F722" s="4" t="s">
        <v>1998</v>
      </c>
    </row>
    <row r="723" spans="1:6" x14ac:dyDescent="0.25">
      <c r="A723" s="4" t="s">
        <v>256</v>
      </c>
      <c r="B723">
        <v>722</v>
      </c>
      <c r="C723" s="4" t="s">
        <v>1285</v>
      </c>
      <c r="D723" s="5" t="s">
        <v>2625</v>
      </c>
      <c r="E723" s="4" t="s">
        <v>1286</v>
      </c>
      <c r="F723" s="4" t="s">
        <v>1999</v>
      </c>
    </row>
    <row r="724" spans="1:6" x14ac:dyDescent="0.25">
      <c r="A724" s="4" t="s">
        <v>256</v>
      </c>
      <c r="B724">
        <v>723</v>
      </c>
      <c r="C724" s="4" t="s">
        <v>1287</v>
      </c>
      <c r="D724" s="5" t="s">
        <v>302</v>
      </c>
      <c r="E724" s="4" t="s">
        <v>302</v>
      </c>
      <c r="F724" s="4" t="s">
        <v>302</v>
      </c>
    </row>
    <row r="725" spans="1:6" x14ac:dyDescent="0.25">
      <c r="A725" s="4" t="s">
        <v>256</v>
      </c>
      <c r="B725">
        <v>724</v>
      </c>
      <c r="C725" s="4" t="s">
        <v>1288</v>
      </c>
      <c r="D725" s="5" t="s">
        <v>2883</v>
      </c>
      <c r="E725" s="4" t="s">
        <v>2287</v>
      </c>
      <c r="F725" s="4" t="s">
        <v>2288</v>
      </c>
    </row>
    <row r="726" spans="1:6" x14ac:dyDescent="0.25">
      <c r="A726" s="4" t="s">
        <v>256</v>
      </c>
      <c r="B726">
        <v>725</v>
      </c>
      <c r="C726" s="4" t="s">
        <v>1289</v>
      </c>
      <c r="D726" s="5" t="s">
        <v>2884</v>
      </c>
      <c r="E726" s="4" t="s">
        <v>1290</v>
      </c>
      <c r="F726" s="4" t="s">
        <v>2000</v>
      </c>
    </row>
    <row r="727" spans="1:6" x14ac:dyDescent="0.25">
      <c r="A727" s="4" t="s">
        <v>256</v>
      </c>
      <c r="B727">
        <v>726</v>
      </c>
      <c r="C727" s="4" t="s">
        <v>1291</v>
      </c>
      <c r="D727" s="5" t="s">
        <v>302</v>
      </c>
      <c r="E727" s="4" t="s">
        <v>302</v>
      </c>
      <c r="F727" s="4" t="s">
        <v>302</v>
      </c>
    </row>
    <row r="728" spans="1:6" x14ac:dyDescent="0.25">
      <c r="A728" s="4" t="s">
        <v>256</v>
      </c>
      <c r="B728">
        <v>727</v>
      </c>
      <c r="C728" s="4" t="s">
        <v>1292</v>
      </c>
      <c r="D728" s="5" t="s">
        <v>302</v>
      </c>
      <c r="E728" s="4" t="s">
        <v>302</v>
      </c>
      <c r="F728" s="4" t="s">
        <v>302</v>
      </c>
    </row>
    <row r="729" spans="1:6" x14ac:dyDescent="0.25">
      <c r="A729" s="4" t="s">
        <v>256</v>
      </c>
      <c r="B729">
        <v>728</v>
      </c>
      <c r="C729" s="4" t="s">
        <v>1293</v>
      </c>
      <c r="D729" s="5" t="s">
        <v>302</v>
      </c>
      <c r="E729" s="4" t="s">
        <v>302</v>
      </c>
      <c r="F729" s="4" t="s">
        <v>302</v>
      </c>
    </row>
    <row r="730" spans="1:6" x14ac:dyDescent="0.25">
      <c r="A730" s="4" t="s">
        <v>256</v>
      </c>
      <c r="B730">
        <v>729</v>
      </c>
      <c r="C730" s="4" t="s">
        <v>1294</v>
      </c>
      <c r="D730" s="5" t="s">
        <v>2604</v>
      </c>
      <c r="E730" s="4" t="s">
        <v>1295</v>
      </c>
      <c r="F730" s="4" t="s">
        <v>2001</v>
      </c>
    </row>
    <row r="731" spans="1:6" x14ac:dyDescent="0.25">
      <c r="A731" s="4" t="s">
        <v>256</v>
      </c>
      <c r="B731">
        <v>730</v>
      </c>
      <c r="C731" s="4" t="s">
        <v>1296</v>
      </c>
      <c r="D731" s="5" t="s">
        <v>302</v>
      </c>
      <c r="E731" s="4" t="s">
        <v>302</v>
      </c>
      <c r="F731" s="4" t="s">
        <v>302</v>
      </c>
    </row>
    <row r="732" spans="1:6" x14ac:dyDescent="0.25">
      <c r="A732" s="4" t="s">
        <v>256</v>
      </c>
      <c r="B732">
        <v>731</v>
      </c>
      <c r="C732" s="4" t="s">
        <v>1297</v>
      </c>
      <c r="D732" s="5" t="s">
        <v>302</v>
      </c>
      <c r="E732" s="4" t="s">
        <v>302</v>
      </c>
      <c r="F732" s="4" t="s">
        <v>302</v>
      </c>
    </row>
    <row r="733" spans="1:6" x14ac:dyDescent="0.25">
      <c r="A733" s="4" t="s">
        <v>256</v>
      </c>
      <c r="B733">
        <v>732</v>
      </c>
      <c r="C733" s="4" t="s">
        <v>1298</v>
      </c>
      <c r="D733" s="5" t="s">
        <v>2885</v>
      </c>
      <c r="E733" s="4" t="s">
        <v>1299</v>
      </c>
      <c r="F733" s="4" t="s">
        <v>2002</v>
      </c>
    </row>
    <row r="734" spans="1:6" x14ac:dyDescent="0.25">
      <c r="A734" s="4" t="s">
        <v>256</v>
      </c>
      <c r="B734">
        <v>733</v>
      </c>
      <c r="C734" s="4" t="s">
        <v>1300</v>
      </c>
      <c r="D734" s="5" t="s">
        <v>302</v>
      </c>
      <c r="E734" s="4" t="s">
        <v>302</v>
      </c>
      <c r="F734" s="4" t="s">
        <v>302</v>
      </c>
    </row>
    <row r="735" spans="1:6" x14ac:dyDescent="0.25">
      <c r="A735" s="4" t="s">
        <v>256</v>
      </c>
      <c r="B735">
        <v>734</v>
      </c>
      <c r="C735" s="4" t="s">
        <v>297</v>
      </c>
      <c r="D735" s="5" t="s">
        <v>2657</v>
      </c>
      <c r="E735" s="4" t="s">
        <v>298</v>
      </c>
      <c r="F735" s="4" t="s">
        <v>1693</v>
      </c>
    </row>
    <row r="736" spans="1:6" x14ac:dyDescent="0.25">
      <c r="A736" s="4" t="s">
        <v>256</v>
      </c>
      <c r="B736">
        <v>735</v>
      </c>
      <c r="C736" s="4" t="s">
        <v>1301</v>
      </c>
      <c r="D736" s="5" t="s">
        <v>302</v>
      </c>
      <c r="E736" s="4" t="s">
        <v>302</v>
      </c>
      <c r="F736" s="4" t="s">
        <v>302</v>
      </c>
    </row>
    <row r="737" spans="1:6" x14ac:dyDescent="0.25">
      <c r="A737" s="4" t="s">
        <v>256</v>
      </c>
      <c r="B737">
        <v>736</v>
      </c>
      <c r="C737" s="4" t="s">
        <v>1302</v>
      </c>
      <c r="D737" s="5" t="s">
        <v>2886</v>
      </c>
      <c r="E737" s="4" t="s">
        <v>1303</v>
      </c>
      <c r="F737" s="4" t="s">
        <v>2003</v>
      </c>
    </row>
    <row r="738" spans="1:6" x14ac:dyDescent="0.25">
      <c r="A738" s="4" t="s">
        <v>256</v>
      </c>
      <c r="B738">
        <v>737</v>
      </c>
      <c r="C738" s="4" t="s">
        <v>1304</v>
      </c>
      <c r="D738" s="5" t="s">
        <v>302</v>
      </c>
      <c r="E738" s="4" t="s">
        <v>302</v>
      </c>
      <c r="F738" s="4" t="s">
        <v>302</v>
      </c>
    </row>
    <row r="739" spans="1:6" x14ac:dyDescent="0.25">
      <c r="A739" s="4" t="s">
        <v>256</v>
      </c>
      <c r="B739">
        <v>738</v>
      </c>
      <c r="C739" s="4" t="s">
        <v>1305</v>
      </c>
      <c r="D739" s="5" t="s">
        <v>2255</v>
      </c>
      <c r="E739" s="4" t="s">
        <v>1306</v>
      </c>
      <c r="F739" s="4" t="s">
        <v>2004</v>
      </c>
    </row>
    <row r="740" spans="1:6" x14ac:dyDescent="0.25">
      <c r="A740" s="4" t="s">
        <v>256</v>
      </c>
      <c r="B740">
        <v>739</v>
      </c>
      <c r="C740" s="4" t="s">
        <v>1307</v>
      </c>
      <c r="D740" s="5" t="s">
        <v>302</v>
      </c>
      <c r="E740" s="4" t="s">
        <v>302</v>
      </c>
      <c r="F740" s="4" t="s">
        <v>302</v>
      </c>
    </row>
    <row r="741" spans="1:6" x14ac:dyDescent="0.25">
      <c r="A741" s="4" t="s">
        <v>256</v>
      </c>
      <c r="B741">
        <v>740</v>
      </c>
      <c r="C741" s="4" t="s">
        <v>1308</v>
      </c>
      <c r="D741" s="5" t="s">
        <v>2887</v>
      </c>
      <c r="E741" s="4" t="s">
        <v>1309</v>
      </c>
      <c r="F741" s="4" t="s">
        <v>2005</v>
      </c>
    </row>
    <row r="742" spans="1:6" x14ac:dyDescent="0.25">
      <c r="A742" s="4" t="s">
        <v>256</v>
      </c>
      <c r="B742">
        <v>741</v>
      </c>
      <c r="C742" s="4" t="s">
        <v>1310</v>
      </c>
      <c r="D742" s="5" t="s">
        <v>302</v>
      </c>
      <c r="E742" s="4" t="s">
        <v>302</v>
      </c>
      <c r="F742" s="4" t="s">
        <v>302</v>
      </c>
    </row>
    <row r="743" spans="1:6" x14ac:dyDescent="0.25">
      <c r="A743" s="4" t="s">
        <v>256</v>
      </c>
      <c r="B743">
        <v>742</v>
      </c>
      <c r="C743" s="4" t="s">
        <v>1311</v>
      </c>
      <c r="D743" s="5" t="s">
        <v>302</v>
      </c>
      <c r="E743" s="4" t="s">
        <v>302</v>
      </c>
      <c r="F743" s="4" t="s">
        <v>302</v>
      </c>
    </row>
    <row r="744" spans="1:6" x14ac:dyDescent="0.25">
      <c r="A744" s="4" t="s">
        <v>256</v>
      </c>
      <c r="B744">
        <v>743</v>
      </c>
      <c r="C744" s="4" t="s">
        <v>1312</v>
      </c>
      <c r="D744" s="5" t="s">
        <v>2888</v>
      </c>
      <c r="E744" s="4" t="s">
        <v>1313</v>
      </c>
      <c r="F744" s="4" t="s">
        <v>2006</v>
      </c>
    </row>
    <row r="745" spans="1:6" x14ac:dyDescent="0.25">
      <c r="A745" s="4" t="s">
        <v>256</v>
      </c>
      <c r="B745">
        <v>744</v>
      </c>
      <c r="C745" s="4" t="s">
        <v>1314</v>
      </c>
      <c r="D745" s="5" t="s">
        <v>2889</v>
      </c>
      <c r="E745" s="4" t="s">
        <v>1315</v>
      </c>
      <c r="F745" s="4" t="s">
        <v>2007</v>
      </c>
    </row>
    <row r="746" spans="1:6" x14ac:dyDescent="0.25">
      <c r="A746" s="4" t="s">
        <v>256</v>
      </c>
      <c r="B746">
        <v>745</v>
      </c>
      <c r="C746" s="4" t="s">
        <v>1316</v>
      </c>
      <c r="D746" s="5" t="s">
        <v>302</v>
      </c>
      <c r="E746" s="4" t="s">
        <v>302</v>
      </c>
      <c r="F746" s="4" t="s">
        <v>302</v>
      </c>
    </row>
    <row r="747" spans="1:6" x14ac:dyDescent="0.25">
      <c r="A747" s="4" t="s">
        <v>256</v>
      </c>
      <c r="B747">
        <v>746</v>
      </c>
      <c r="C747" s="4" t="s">
        <v>1317</v>
      </c>
      <c r="D747" s="5" t="s">
        <v>2890</v>
      </c>
      <c r="E747" s="4" t="s">
        <v>1318</v>
      </c>
      <c r="F747" s="4" t="s">
        <v>2008</v>
      </c>
    </row>
    <row r="748" spans="1:6" x14ac:dyDescent="0.25">
      <c r="A748" s="4" t="s">
        <v>256</v>
      </c>
      <c r="B748">
        <v>747</v>
      </c>
      <c r="C748" s="4" t="s">
        <v>1319</v>
      </c>
      <c r="D748" s="5" t="s">
        <v>2891</v>
      </c>
      <c r="E748" s="4" t="s">
        <v>1320</v>
      </c>
      <c r="F748" s="4" t="s">
        <v>2009</v>
      </c>
    </row>
    <row r="749" spans="1:6" x14ac:dyDescent="0.25">
      <c r="A749" s="4" t="s">
        <v>256</v>
      </c>
      <c r="B749">
        <v>748</v>
      </c>
      <c r="C749" s="4" t="s">
        <v>1321</v>
      </c>
      <c r="D749" s="5" t="s">
        <v>2892</v>
      </c>
      <c r="E749" s="4" t="s">
        <v>1322</v>
      </c>
      <c r="F749" s="4" t="s">
        <v>2010</v>
      </c>
    </row>
    <row r="750" spans="1:6" x14ac:dyDescent="0.25">
      <c r="A750" s="4" t="s">
        <v>256</v>
      </c>
      <c r="B750">
        <v>749</v>
      </c>
      <c r="C750" s="4" t="s">
        <v>1323</v>
      </c>
      <c r="D750" s="5" t="s">
        <v>302</v>
      </c>
      <c r="E750" s="4" t="s">
        <v>302</v>
      </c>
      <c r="F750" s="4" t="s">
        <v>302</v>
      </c>
    </row>
    <row r="751" spans="1:6" x14ac:dyDescent="0.25">
      <c r="A751" s="4" t="s">
        <v>256</v>
      </c>
      <c r="B751">
        <v>750</v>
      </c>
      <c r="C751" s="4" t="s">
        <v>1324</v>
      </c>
      <c r="D751" s="5" t="s">
        <v>2252</v>
      </c>
      <c r="E751" s="4" t="s">
        <v>1325</v>
      </c>
      <c r="F751" s="4" t="s">
        <v>2011</v>
      </c>
    </row>
    <row r="752" spans="1:6" x14ac:dyDescent="0.25">
      <c r="A752" s="4" t="s">
        <v>256</v>
      </c>
      <c r="B752">
        <v>751</v>
      </c>
      <c r="C752" s="4" t="s">
        <v>1326</v>
      </c>
      <c r="D752" s="5" t="s">
        <v>2893</v>
      </c>
      <c r="E752" s="4" t="s">
        <v>1327</v>
      </c>
      <c r="F752" s="4" t="s">
        <v>2012</v>
      </c>
    </row>
    <row r="753" spans="1:6" x14ac:dyDescent="0.25">
      <c r="A753" s="4" t="s">
        <v>256</v>
      </c>
      <c r="B753">
        <v>752</v>
      </c>
      <c r="C753" s="4" t="s">
        <v>1328</v>
      </c>
      <c r="D753" s="5" t="s">
        <v>302</v>
      </c>
      <c r="E753" s="4" t="s">
        <v>302</v>
      </c>
      <c r="F753" s="4" t="s">
        <v>302</v>
      </c>
    </row>
    <row r="754" spans="1:6" x14ac:dyDescent="0.25">
      <c r="A754" s="4" t="s">
        <v>256</v>
      </c>
      <c r="B754">
        <v>753</v>
      </c>
      <c r="C754" s="4" t="s">
        <v>1329</v>
      </c>
      <c r="D754" s="5" t="s">
        <v>302</v>
      </c>
      <c r="E754" s="4" t="s">
        <v>302</v>
      </c>
      <c r="F754" s="4" t="s">
        <v>302</v>
      </c>
    </row>
    <row r="755" spans="1:6" x14ac:dyDescent="0.25">
      <c r="A755" s="4" t="s">
        <v>256</v>
      </c>
      <c r="B755">
        <v>754</v>
      </c>
      <c r="C755" s="4" t="s">
        <v>1330</v>
      </c>
      <c r="D755" s="5" t="s">
        <v>302</v>
      </c>
      <c r="E755" s="4" t="s">
        <v>302</v>
      </c>
      <c r="F755" s="4" t="s">
        <v>302</v>
      </c>
    </row>
    <row r="756" spans="1:6" x14ac:dyDescent="0.25">
      <c r="A756" s="4" t="s">
        <v>256</v>
      </c>
      <c r="B756">
        <v>755</v>
      </c>
      <c r="C756" s="4" t="s">
        <v>1331</v>
      </c>
      <c r="D756" s="5" t="s">
        <v>302</v>
      </c>
      <c r="E756" s="4" t="s">
        <v>302</v>
      </c>
      <c r="F756" s="4" t="s">
        <v>302</v>
      </c>
    </row>
    <row r="757" spans="1:6" x14ac:dyDescent="0.25">
      <c r="A757" s="4" t="s">
        <v>256</v>
      </c>
      <c r="B757">
        <v>756</v>
      </c>
      <c r="C757" s="4" t="s">
        <v>1332</v>
      </c>
      <c r="D757" s="5" t="s">
        <v>302</v>
      </c>
      <c r="E757" s="4" t="s">
        <v>302</v>
      </c>
      <c r="F757" s="4" t="s">
        <v>302</v>
      </c>
    </row>
    <row r="758" spans="1:6" x14ac:dyDescent="0.25">
      <c r="A758" s="4" t="s">
        <v>256</v>
      </c>
      <c r="B758">
        <v>757</v>
      </c>
      <c r="C758" s="4" t="s">
        <v>1333</v>
      </c>
      <c r="D758" s="5" t="s">
        <v>302</v>
      </c>
      <c r="E758" s="4" t="s">
        <v>302</v>
      </c>
      <c r="F758" s="4" t="s">
        <v>302</v>
      </c>
    </row>
    <row r="759" spans="1:6" x14ac:dyDescent="0.25">
      <c r="A759" s="4" t="s">
        <v>256</v>
      </c>
      <c r="B759">
        <v>758</v>
      </c>
      <c r="C759" s="4" t="s">
        <v>1334</v>
      </c>
      <c r="D759" s="5" t="s">
        <v>302</v>
      </c>
      <c r="E759" s="4" t="s">
        <v>302</v>
      </c>
      <c r="F759" s="4" t="s">
        <v>302</v>
      </c>
    </row>
    <row r="760" spans="1:6" x14ac:dyDescent="0.25">
      <c r="A760" s="4" t="s">
        <v>256</v>
      </c>
      <c r="B760">
        <v>759</v>
      </c>
      <c r="C760" s="4" t="s">
        <v>1335</v>
      </c>
      <c r="D760" s="5" t="s">
        <v>302</v>
      </c>
      <c r="E760" s="4" t="s">
        <v>302</v>
      </c>
      <c r="F760" s="4" t="s">
        <v>302</v>
      </c>
    </row>
    <row r="761" spans="1:6" x14ac:dyDescent="0.25">
      <c r="A761" s="4" t="s">
        <v>256</v>
      </c>
      <c r="B761">
        <v>760</v>
      </c>
      <c r="C761" s="4" t="s">
        <v>1336</v>
      </c>
      <c r="D761" s="5" t="s">
        <v>2894</v>
      </c>
      <c r="E761" s="4" t="s">
        <v>1337</v>
      </c>
      <c r="F761" s="4" t="s">
        <v>2013</v>
      </c>
    </row>
    <row r="762" spans="1:6" x14ac:dyDescent="0.25">
      <c r="A762" s="4" t="s">
        <v>256</v>
      </c>
      <c r="B762">
        <v>761</v>
      </c>
      <c r="C762" s="4" t="s">
        <v>1338</v>
      </c>
      <c r="D762" s="5" t="s">
        <v>302</v>
      </c>
      <c r="E762" s="4" t="s">
        <v>302</v>
      </c>
      <c r="F762" s="4" t="s">
        <v>302</v>
      </c>
    </row>
    <row r="763" spans="1:6" x14ac:dyDescent="0.25">
      <c r="A763" s="4" t="s">
        <v>256</v>
      </c>
      <c r="B763">
        <v>762</v>
      </c>
      <c r="C763" s="4" t="s">
        <v>1339</v>
      </c>
      <c r="D763" s="5" t="s">
        <v>302</v>
      </c>
      <c r="E763" s="4" t="s">
        <v>302</v>
      </c>
      <c r="F763" s="4" t="s">
        <v>302</v>
      </c>
    </row>
    <row r="764" spans="1:6" x14ac:dyDescent="0.25">
      <c r="A764" s="4" t="s">
        <v>256</v>
      </c>
      <c r="B764">
        <v>763</v>
      </c>
      <c r="C764" s="4" t="s">
        <v>1340</v>
      </c>
      <c r="D764" s="5" t="s">
        <v>2895</v>
      </c>
      <c r="E764" s="4" t="s">
        <v>1341</v>
      </c>
      <c r="F764" s="4" t="s">
        <v>2014</v>
      </c>
    </row>
    <row r="765" spans="1:6" x14ac:dyDescent="0.25">
      <c r="A765" s="4" t="s">
        <v>256</v>
      </c>
      <c r="B765">
        <v>764</v>
      </c>
      <c r="C765" s="4" t="s">
        <v>1342</v>
      </c>
      <c r="D765" s="5" t="s">
        <v>2896</v>
      </c>
      <c r="E765" s="4" t="s">
        <v>1343</v>
      </c>
      <c r="F765" s="4" t="s">
        <v>2015</v>
      </c>
    </row>
    <row r="766" spans="1:6" x14ac:dyDescent="0.25">
      <c r="A766" s="4" t="s">
        <v>256</v>
      </c>
      <c r="B766">
        <v>765</v>
      </c>
      <c r="C766" s="4" t="s">
        <v>1344</v>
      </c>
      <c r="D766" s="5" t="s">
        <v>302</v>
      </c>
      <c r="E766" s="4" t="s">
        <v>302</v>
      </c>
      <c r="F766" s="4" t="s">
        <v>302</v>
      </c>
    </row>
    <row r="767" spans="1:6" x14ac:dyDescent="0.25">
      <c r="A767" s="4" t="s">
        <v>256</v>
      </c>
      <c r="B767">
        <v>766</v>
      </c>
      <c r="C767" s="4" t="s">
        <v>1345</v>
      </c>
      <c r="D767" s="5" t="s">
        <v>302</v>
      </c>
      <c r="E767" s="4" t="s">
        <v>302</v>
      </c>
      <c r="F767" s="4" t="s">
        <v>302</v>
      </c>
    </row>
    <row r="768" spans="1:6" x14ac:dyDescent="0.25">
      <c r="A768" s="4" t="s">
        <v>256</v>
      </c>
      <c r="B768">
        <v>767</v>
      </c>
      <c r="C768" s="4" t="s">
        <v>293</v>
      </c>
      <c r="D768" s="5" t="s">
        <v>2655</v>
      </c>
      <c r="E768" s="4" t="s">
        <v>294</v>
      </c>
      <c r="F768" s="4" t="s">
        <v>1691</v>
      </c>
    </row>
    <row r="769" spans="1:6" x14ac:dyDescent="0.25">
      <c r="A769" s="4" t="s">
        <v>256</v>
      </c>
      <c r="B769">
        <v>768</v>
      </c>
      <c r="C769" s="4" t="s">
        <v>1346</v>
      </c>
      <c r="D769" s="5" t="s">
        <v>302</v>
      </c>
      <c r="E769" s="4" t="s">
        <v>302</v>
      </c>
      <c r="F769" s="4" t="s">
        <v>302</v>
      </c>
    </row>
    <row r="770" spans="1:6" x14ac:dyDescent="0.25">
      <c r="A770" s="4" t="s">
        <v>256</v>
      </c>
      <c r="B770">
        <v>769</v>
      </c>
      <c r="C770" s="4" t="s">
        <v>1347</v>
      </c>
      <c r="D770" s="5" t="s">
        <v>302</v>
      </c>
      <c r="E770" s="4" t="s">
        <v>302</v>
      </c>
      <c r="F770" s="4" t="s">
        <v>302</v>
      </c>
    </row>
    <row r="771" spans="1:6" x14ac:dyDescent="0.25">
      <c r="A771" s="4" t="s">
        <v>256</v>
      </c>
      <c r="B771">
        <v>770</v>
      </c>
      <c r="C771" s="4" t="s">
        <v>1348</v>
      </c>
      <c r="D771" s="5" t="s">
        <v>2897</v>
      </c>
      <c r="E771" s="4" t="s">
        <v>1349</v>
      </c>
      <c r="F771" s="4" t="s">
        <v>2016</v>
      </c>
    </row>
    <row r="772" spans="1:6" x14ac:dyDescent="0.25">
      <c r="A772" s="4" t="s">
        <v>256</v>
      </c>
      <c r="B772">
        <v>771</v>
      </c>
      <c r="C772" s="4" t="s">
        <v>1350</v>
      </c>
      <c r="D772" s="5" t="s">
        <v>2624</v>
      </c>
      <c r="E772" s="4" t="s">
        <v>1351</v>
      </c>
      <c r="F772" s="4" t="s">
        <v>2017</v>
      </c>
    </row>
    <row r="773" spans="1:6" x14ac:dyDescent="0.25">
      <c r="A773" s="4" t="s">
        <v>256</v>
      </c>
      <c r="B773">
        <v>772</v>
      </c>
      <c r="C773" s="4" t="s">
        <v>1352</v>
      </c>
      <c r="D773" s="5" t="s">
        <v>302</v>
      </c>
      <c r="E773" s="4" t="s">
        <v>302</v>
      </c>
      <c r="F773" s="4" t="s">
        <v>302</v>
      </c>
    </row>
    <row r="774" spans="1:6" x14ac:dyDescent="0.25">
      <c r="A774" s="4" t="s">
        <v>256</v>
      </c>
      <c r="B774">
        <v>773</v>
      </c>
      <c r="C774" s="4" t="s">
        <v>1353</v>
      </c>
      <c r="D774" s="5" t="s">
        <v>2623</v>
      </c>
      <c r="E774" s="4" t="s">
        <v>1354</v>
      </c>
      <c r="F774" s="4" t="s">
        <v>2018</v>
      </c>
    </row>
    <row r="775" spans="1:6" x14ac:dyDescent="0.25">
      <c r="A775" s="4" t="s">
        <v>256</v>
      </c>
      <c r="B775">
        <v>774</v>
      </c>
      <c r="C775" s="4" t="s">
        <v>1355</v>
      </c>
      <c r="D775" s="5" t="s">
        <v>302</v>
      </c>
      <c r="E775" s="4" t="s">
        <v>302</v>
      </c>
      <c r="F775" s="4" t="s">
        <v>302</v>
      </c>
    </row>
    <row r="776" spans="1:6" x14ac:dyDescent="0.25">
      <c r="A776" s="4" t="s">
        <v>256</v>
      </c>
      <c r="B776">
        <v>775</v>
      </c>
      <c r="C776" s="4" t="s">
        <v>1356</v>
      </c>
      <c r="D776" s="5" t="s">
        <v>2898</v>
      </c>
      <c r="E776" s="4" t="s">
        <v>1357</v>
      </c>
      <c r="F776" s="4" t="s">
        <v>2019</v>
      </c>
    </row>
    <row r="777" spans="1:6" x14ac:dyDescent="0.25">
      <c r="A777" s="4" t="s">
        <v>256</v>
      </c>
      <c r="B777">
        <v>776</v>
      </c>
      <c r="C777" s="4" t="s">
        <v>1358</v>
      </c>
      <c r="D777" s="5" t="s">
        <v>2397</v>
      </c>
      <c r="E777" s="4" t="s">
        <v>1359</v>
      </c>
      <c r="F777" s="4" t="s">
        <v>2020</v>
      </c>
    </row>
    <row r="778" spans="1:6" x14ac:dyDescent="0.25">
      <c r="A778" s="4" t="s">
        <v>256</v>
      </c>
      <c r="B778">
        <v>777</v>
      </c>
      <c r="C778" s="4" t="s">
        <v>1360</v>
      </c>
      <c r="D778" s="5" t="s">
        <v>302</v>
      </c>
      <c r="E778" s="4" t="s">
        <v>302</v>
      </c>
      <c r="F778" s="4" t="s">
        <v>302</v>
      </c>
    </row>
    <row r="779" spans="1:6" x14ac:dyDescent="0.25">
      <c r="A779" s="4" t="s">
        <v>256</v>
      </c>
      <c r="B779">
        <v>778</v>
      </c>
      <c r="C779" s="4" t="s">
        <v>1361</v>
      </c>
      <c r="D779" s="5" t="s">
        <v>302</v>
      </c>
      <c r="E779" s="4" t="s">
        <v>302</v>
      </c>
      <c r="F779" s="4" t="s">
        <v>302</v>
      </c>
    </row>
    <row r="780" spans="1:6" x14ac:dyDescent="0.25">
      <c r="A780" s="4" t="s">
        <v>256</v>
      </c>
      <c r="B780">
        <v>779</v>
      </c>
      <c r="C780" s="4" t="s">
        <v>1362</v>
      </c>
      <c r="D780" s="5" t="s">
        <v>302</v>
      </c>
      <c r="E780" s="4" t="s">
        <v>302</v>
      </c>
      <c r="F780" s="4" t="s">
        <v>302</v>
      </c>
    </row>
    <row r="781" spans="1:6" x14ac:dyDescent="0.25">
      <c r="A781" s="4" t="s">
        <v>256</v>
      </c>
      <c r="B781">
        <v>780</v>
      </c>
      <c r="C781" s="4" t="s">
        <v>1363</v>
      </c>
      <c r="D781" s="5" t="s">
        <v>2899</v>
      </c>
      <c r="E781" s="4" t="s">
        <v>1364</v>
      </c>
      <c r="F781" s="4" t="s">
        <v>2021</v>
      </c>
    </row>
    <row r="782" spans="1:6" x14ac:dyDescent="0.25">
      <c r="A782" s="4" t="s">
        <v>256</v>
      </c>
      <c r="B782">
        <v>781</v>
      </c>
      <c r="C782" s="4" t="s">
        <v>1365</v>
      </c>
      <c r="D782" s="5" t="s">
        <v>302</v>
      </c>
      <c r="E782" s="4" t="s">
        <v>302</v>
      </c>
      <c r="F782" s="4" t="s">
        <v>302</v>
      </c>
    </row>
    <row r="783" spans="1:6" x14ac:dyDescent="0.25">
      <c r="A783" s="4" t="s">
        <v>256</v>
      </c>
      <c r="B783">
        <v>782</v>
      </c>
      <c r="C783" s="4" t="s">
        <v>1366</v>
      </c>
      <c r="D783" s="5" t="s">
        <v>2400</v>
      </c>
      <c r="E783" s="4" t="s">
        <v>1367</v>
      </c>
      <c r="F783" s="4" t="s">
        <v>2022</v>
      </c>
    </row>
    <row r="784" spans="1:6" x14ac:dyDescent="0.25">
      <c r="A784" s="4" t="s">
        <v>256</v>
      </c>
      <c r="B784">
        <v>783</v>
      </c>
      <c r="C784" s="4" t="s">
        <v>1368</v>
      </c>
      <c r="D784" s="5" t="s">
        <v>2900</v>
      </c>
      <c r="E784" s="4" t="s">
        <v>1369</v>
      </c>
      <c r="F784" s="4" t="s">
        <v>2023</v>
      </c>
    </row>
    <row r="785" spans="1:6" x14ac:dyDescent="0.25">
      <c r="A785" s="4" t="s">
        <v>256</v>
      </c>
      <c r="B785">
        <v>784</v>
      </c>
      <c r="C785" s="4" t="s">
        <v>1370</v>
      </c>
      <c r="D785" s="5" t="s">
        <v>302</v>
      </c>
      <c r="E785" s="4" t="s">
        <v>302</v>
      </c>
      <c r="F785" s="4" t="s">
        <v>302</v>
      </c>
    </row>
    <row r="786" spans="1:6" x14ac:dyDescent="0.25">
      <c r="A786" s="4" t="s">
        <v>256</v>
      </c>
      <c r="B786">
        <v>785</v>
      </c>
      <c r="C786" s="4" t="s">
        <v>1371</v>
      </c>
      <c r="D786" s="5" t="s">
        <v>302</v>
      </c>
      <c r="E786" s="4" t="s">
        <v>302</v>
      </c>
      <c r="F786" s="4" t="s">
        <v>302</v>
      </c>
    </row>
    <row r="787" spans="1:6" x14ac:dyDescent="0.25">
      <c r="A787" s="4" t="s">
        <v>256</v>
      </c>
      <c r="B787">
        <v>786</v>
      </c>
      <c r="C787" s="4" t="s">
        <v>1372</v>
      </c>
      <c r="D787" s="5" t="s">
        <v>302</v>
      </c>
      <c r="E787" s="4" t="s">
        <v>302</v>
      </c>
      <c r="F787" s="4" t="s">
        <v>302</v>
      </c>
    </row>
    <row r="788" spans="1:6" x14ac:dyDescent="0.25">
      <c r="A788" s="4" t="s">
        <v>256</v>
      </c>
      <c r="B788">
        <v>787</v>
      </c>
      <c r="C788" s="4" t="s">
        <v>1373</v>
      </c>
      <c r="D788" s="5" t="s">
        <v>2797</v>
      </c>
      <c r="E788" s="4" t="s">
        <v>1374</v>
      </c>
      <c r="F788" s="4" t="s">
        <v>2024</v>
      </c>
    </row>
    <row r="789" spans="1:6" x14ac:dyDescent="0.25">
      <c r="A789" s="4" t="s">
        <v>256</v>
      </c>
      <c r="B789">
        <v>788</v>
      </c>
      <c r="C789" s="4" t="s">
        <v>1375</v>
      </c>
      <c r="D789" s="5" t="s">
        <v>302</v>
      </c>
      <c r="E789" s="4" t="s">
        <v>302</v>
      </c>
      <c r="F789" s="4" t="s">
        <v>302</v>
      </c>
    </row>
    <row r="790" spans="1:6" x14ac:dyDescent="0.25">
      <c r="A790" s="4" t="s">
        <v>256</v>
      </c>
      <c r="B790">
        <v>789</v>
      </c>
      <c r="C790" s="4" t="s">
        <v>1376</v>
      </c>
      <c r="D790" s="5" t="s">
        <v>302</v>
      </c>
      <c r="E790" s="4" t="s">
        <v>302</v>
      </c>
      <c r="F790" s="4" t="s">
        <v>302</v>
      </c>
    </row>
    <row r="791" spans="1:6" x14ac:dyDescent="0.25">
      <c r="A791" s="4" t="s">
        <v>256</v>
      </c>
      <c r="B791">
        <v>790</v>
      </c>
      <c r="C791" s="4" t="s">
        <v>1377</v>
      </c>
      <c r="D791" s="5" t="s">
        <v>2901</v>
      </c>
      <c r="E791" s="4" t="s">
        <v>1378</v>
      </c>
      <c r="F791" s="4" t="s">
        <v>2025</v>
      </c>
    </row>
    <row r="792" spans="1:6" x14ac:dyDescent="0.25">
      <c r="A792" s="4" t="s">
        <v>256</v>
      </c>
      <c r="B792">
        <v>791</v>
      </c>
      <c r="C792" s="4" t="s">
        <v>1379</v>
      </c>
      <c r="D792" s="5" t="s">
        <v>2902</v>
      </c>
      <c r="E792" s="4" t="s">
        <v>1380</v>
      </c>
      <c r="F792" s="4" t="s">
        <v>2026</v>
      </c>
    </row>
    <row r="793" spans="1:6" x14ac:dyDescent="0.25">
      <c r="A793" s="4" t="s">
        <v>256</v>
      </c>
      <c r="B793">
        <v>792</v>
      </c>
      <c r="C793" s="4" t="s">
        <v>1381</v>
      </c>
      <c r="D793" s="5" t="s">
        <v>302</v>
      </c>
      <c r="E793" s="4" t="s">
        <v>302</v>
      </c>
      <c r="F793" s="4" t="s">
        <v>302</v>
      </c>
    </row>
    <row r="794" spans="1:6" x14ac:dyDescent="0.25">
      <c r="A794" s="4" t="s">
        <v>256</v>
      </c>
      <c r="B794">
        <v>793</v>
      </c>
      <c r="C794" s="4" t="s">
        <v>1382</v>
      </c>
      <c r="D794" s="5" t="s">
        <v>302</v>
      </c>
      <c r="E794" s="4" t="s">
        <v>302</v>
      </c>
      <c r="F794" s="4" t="s">
        <v>302</v>
      </c>
    </row>
    <row r="795" spans="1:6" x14ac:dyDescent="0.25">
      <c r="A795" s="4" t="s">
        <v>256</v>
      </c>
      <c r="B795">
        <v>794</v>
      </c>
      <c r="C795" s="4" t="s">
        <v>1383</v>
      </c>
      <c r="D795" s="5" t="s">
        <v>302</v>
      </c>
      <c r="E795" s="4" t="s">
        <v>302</v>
      </c>
      <c r="F795" s="4" t="s">
        <v>302</v>
      </c>
    </row>
    <row r="796" spans="1:6" x14ac:dyDescent="0.25">
      <c r="A796" s="4" t="s">
        <v>256</v>
      </c>
      <c r="B796">
        <v>795</v>
      </c>
      <c r="C796" s="4" t="s">
        <v>1384</v>
      </c>
      <c r="D796" s="5" t="s">
        <v>302</v>
      </c>
      <c r="E796" s="4" t="s">
        <v>302</v>
      </c>
      <c r="F796" s="4" t="s">
        <v>302</v>
      </c>
    </row>
    <row r="797" spans="1:6" x14ac:dyDescent="0.25">
      <c r="A797" s="4" t="s">
        <v>256</v>
      </c>
      <c r="B797">
        <v>796</v>
      </c>
      <c r="C797" s="4" t="s">
        <v>1385</v>
      </c>
      <c r="D797" s="5" t="s">
        <v>302</v>
      </c>
      <c r="E797" s="4" t="s">
        <v>302</v>
      </c>
      <c r="F797" s="4" t="s">
        <v>302</v>
      </c>
    </row>
    <row r="798" spans="1:6" x14ac:dyDescent="0.25">
      <c r="A798" s="4" t="s">
        <v>256</v>
      </c>
      <c r="B798">
        <v>797</v>
      </c>
      <c r="C798" s="4" t="s">
        <v>1386</v>
      </c>
      <c r="D798" s="5" t="s">
        <v>302</v>
      </c>
      <c r="E798" s="4" t="s">
        <v>302</v>
      </c>
      <c r="F798" s="4" t="s">
        <v>302</v>
      </c>
    </row>
    <row r="799" spans="1:6" x14ac:dyDescent="0.25">
      <c r="A799" s="4" t="s">
        <v>256</v>
      </c>
      <c r="B799">
        <v>798</v>
      </c>
      <c r="C799" s="4" t="s">
        <v>1387</v>
      </c>
      <c r="D799" s="5" t="s">
        <v>302</v>
      </c>
      <c r="E799" s="4" t="s">
        <v>302</v>
      </c>
      <c r="F799" s="4" t="s">
        <v>302</v>
      </c>
    </row>
    <row r="800" spans="1:6" x14ac:dyDescent="0.25">
      <c r="A800" s="4" t="s">
        <v>256</v>
      </c>
      <c r="B800">
        <v>799</v>
      </c>
      <c r="C800" s="4" t="s">
        <v>1388</v>
      </c>
      <c r="D800" s="5" t="s">
        <v>302</v>
      </c>
      <c r="E800" s="4" t="s">
        <v>302</v>
      </c>
      <c r="F800" s="4" t="s">
        <v>302</v>
      </c>
    </row>
    <row r="801" spans="1:6" x14ac:dyDescent="0.25">
      <c r="A801" s="4" t="s">
        <v>256</v>
      </c>
      <c r="B801">
        <v>800</v>
      </c>
      <c r="C801" s="4" t="s">
        <v>1389</v>
      </c>
      <c r="D801" s="5" t="s">
        <v>302</v>
      </c>
      <c r="E801" s="4" t="s">
        <v>302</v>
      </c>
      <c r="F801" s="4" t="s">
        <v>302</v>
      </c>
    </row>
    <row r="802" spans="1:6" x14ac:dyDescent="0.25">
      <c r="A802" s="4" t="s">
        <v>256</v>
      </c>
      <c r="B802">
        <v>801</v>
      </c>
      <c r="C802" s="4" t="s">
        <v>1390</v>
      </c>
      <c r="D802" s="5" t="s">
        <v>2903</v>
      </c>
      <c r="E802" s="4" t="s">
        <v>1391</v>
      </c>
      <c r="F802" s="4" t="s">
        <v>2027</v>
      </c>
    </row>
    <row r="803" spans="1:6" x14ac:dyDescent="0.25">
      <c r="A803" s="4" t="s">
        <v>256</v>
      </c>
      <c r="B803">
        <v>802</v>
      </c>
      <c r="C803" s="4" t="s">
        <v>1392</v>
      </c>
      <c r="D803" s="5" t="s">
        <v>302</v>
      </c>
      <c r="E803" s="4" t="s">
        <v>302</v>
      </c>
      <c r="F803" s="4" t="s">
        <v>302</v>
      </c>
    </row>
    <row r="804" spans="1:6" x14ac:dyDescent="0.25">
      <c r="A804" s="4" t="s">
        <v>256</v>
      </c>
      <c r="B804">
        <v>803</v>
      </c>
      <c r="C804" s="4" t="s">
        <v>1393</v>
      </c>
      <c r="D804" s="5" t="s">
        <v>302</v>
      </c>
      <c r="E804" s="4" t="s">
        <v>302</v>
      </c>
      <c r="F804" s="4" t="s">
        <v>302</v>
      </c>
    </row>
    <row r="805" spans="1:6" x14ac:dyDescent="0.25">
      <c r="A805" s="4" t="s">
        <v>256</v>
      </c>
      <c r="B805">
        <v>804</v>
      </c>
      <c r="C805" s="4" t="s">
        <v>1394</v>
      </c>
      <c r="D805" s="5" t="s">
        <v>2904</v>
      </c>
      <c r="E805" s="4" t="s">
        <v>1395</v>
      </c>
      <c r="F805" s="4" t="s">
        <v>2028</v>
      </c>
    </row>
    <row r="806" spans="1:6" x14ac:dyDescent="0.25">
      <c r="A806" s="4" t="s">
        <v>256</v>
      </c>
      <c r="B806">
        <v>805</v>
      </c>
      <c r="C806" s="4" t="s">
        <v>1396</v>
      </c>
      <c r="D806" s="5" t="s">
        <v>302</v>
      </c>
      <c r="E806" s="4" t="s">
        <v>302</v>
      </c>
      <c r="F806" s="4" t="s">
        <v>302</v>
      </c>
    </row>
    <row r="807" spans="1:6" x14ac:dyDescent="0.25">
      <c r="A807" s="4" t="s">
        <v>256</v>
      </c>
      <c r="B807">
        <v>806</v>
      </c>
      <c r="C807" s="4" t="s">
        <v>299</v>
      </c>
      <c r="D807" s="5" t="s">
        <v>2658</v>
      </c>
      <c r="E807" s="4" t="s">
        <v>300</v>
      </c>
      <c r="F807" s="4" t="s">
        <v>1694</v>
      </c>
    </row>
    <row r="808" spans="1:6" x14ac:dyDescent="0.25">
      <c r="A808" s="4" t="s">
        <v>256</v>
      </c>
      <c r="B808">
        <v>807</v>
      </c>
      <c r="C808" s="4" t="s">
        <v>1397</v>
      </c>
      <c r="D808" s="5" t="s">
        <v>302</v>
      </c>
      <c r="E808" s="4" t="s">
        <v>302</v>
      </c>
      <c r="F808" s="4" t="s">
        <v>302</v>
      </c>
    </row>
    <row r="809" spans="1:6" x14ac:dyDescent="0.25">
      <c r="A809" s="4" t="s">
        <v>256</v>
      </c>
      <c r="B809">
        <v>808</v>
      </c>
      <c r="C809" s="4" t="s">
        <v>1398</v>
      </c>
      <c r="D809" s="5" t="s">
        <v>302</v>
      </c>
      <c r="E809" s="4" t="s">
        <v>302</v>
      </c>
      <c r="F809" s="4" t="s">
        <v>302</v>
      </c>
    </row>
    <row r="810" spans="1:6" x14ac:dyDescent="0.25">
      <c r="A810" s="4" t="s">
        <v>256</v>
      </c>
      <c r="B810">
        <v>809</v>
      </c>
      <c r="C810" s="4" t="s">
        <v>1399</v>
      </c>
      <c r="D810" s="5" t="s">
        <v>2905</v>
      </c>
      <c r="E810" s="4" t="s">
        <v>1400</v>
      </c>
      <c r="F810" s="4" t="s">
        <v>2029</v>
      </c>
    </row>
    <row r="811" spans="1:6" x14ac:dyDescent="0.25">
      <c r="A811" s="4" t="s">
        <v>256</v>
      </c>
      <c r="B811">
        <v>810</v>
      </c>
      <c r="C811" s="4" t="s">
        <v>1401</v>
      </c>
      <c r="D811" s="5" t="s">
        <v>302</v>
      </c>
      <c r="E811" s="4" t="s">
        <v>302</v>
      </c>
      <c r="F811" s="4" t="s">
        <v>302</v>
      </c>
    </row>
    <row r="812" spans="1:6" x14ac:dyDescent="0.25">
      <c r="A812" s="4" t="s">
        <v>256</v>
      </c>
      <c r="B812">
        <v>811</v>
      </c>
      <c r="C812" s="4" t="s">
        <v>1402</v>
      </c>
      <c r="D812" s="5" t="s">
        <v>302</v>
      </c>
      <c r="E812" s="4" t="s">
        <v>302</v>
      </c>
      <c r="F812" s="4" t="s">
        <v>302</v>
      </c>
    </row>
    <row r="813" spans="1:6" x14ac:dyDescent="0.25">
      <c r="A813" s="4" t="s">
        <v>256</v>
      </c>
      <c r="B813">
        <v>812</v>
      </c>
      <c r="C813" s="4" t="s">
        <v>1403</v>
      </c>
      <c r="D813" s="5" t="s">
        <v>302</v>
      </c>
      <c r="E813" s="4" t="s">
        <v>302</v>
      </c>
      <c r="F813" s="4" t="s">
        <v>302</v>
      </c>
    </row>
    <row r="814" spans="1:6" x14ac:dyDescent="0.25">
      <c r="A814" s="4" t="s">
        <v>256</v>
      </c>
      <c r="B814">
        <v>813</v>
      </c>
      <c r="C814" s="4" t="s">
        <v>1404</v>
      </c>
      <c r="D814" s="5" t="s">
        <v>302</v>
      </c>
      <c r="E814" s="4" t="s">
        <v>302</v>
      </c>
      <c r="F814" s="4" t="s">
        <v>302</v>
      </c>
    </row>
    <row r="815" spans="1:6" x14ac:dyDescent="0.25">
      <c r="A815" s="4" t="s">
        <v>256</v>
      </c>
      <c r="B815">
        <v>814</v>
      </c>
      <c r="C815" s="4" t="s">
        <v>1405</v>
      </c>
      <c r="D815" s="5" t="s">
        <v>2401</v>
      </c>
      <c r="E815" s="4" t="s">
        <v>1406</v>
      </c>
      <c r="F815" s="4" t="s">
        <v>2030</v>
      </c>
    </row>
    <row r="816" spans="1:6" x14ac:dyDescent="0.25">
      <c r="A816" s="4" t="s">
        <v>256</v>
      </c>
      <c r="B816">
        <v>815</v>
      </c>
      <c r="C816" s="4" t="s">
        <v>1407</v>
      </c>
      <c r="D816" s="5" t="s">
        <v>1408</v>
      </c>
      <c r="E816" s="4" t="s">
        <v>1409</v>
      </c>
      <c r="F816" s="4" t="s">
        <v>2031</v>
      </c>
    </row>
    <row r="817" spans="1:6" x14ac:dyDescent="0.25">
      <c r="A817" s="4" t="s">
        <v>256</v>
      </c>
      <c r="B817">
        <v>816</v>
      </c>
      <c r="C817" s="4" t="s">
        <v>1410</v>
      </c>
      <c r="D817" s="5" t="s">
        <v>2401</v>
      </c>
      <c r="E817" s="4" t="s">
        <v>1411</v>
      </c>
      <c r="F817" s="4" t="s">
        <v>2032</v>
      </c>
    </row>
    <row r="818" spans="1:6" x14ac:dyDescent="0.25">
      <c r="A818" s="4" t="s">
        <v>256</v>
      </c>
      <c r="B818">
        <v>817</v>
      </c>
      <c r="C818" s="4" t="s">
        <v>1412</v>
      </c>
      <c r="D818" s="5" t="s">
        <v>2906</v>
      </c>
      <c r="E818" s="4" t="s">
        <v>1413</v>
      </c>
      <c r="F818" s="4" t="s">
        <v>2033</v>
      </c>
    </row>
    <row r="819" spans="1:6" x14ac:dyDescent="0.25">
      <c r="A819" s="4" t="s">
        <v>256</v>
      </c>
      <c r="B819">
        <v>818</v>
      </c>
      <c r="C819" s="4" t="s">
        <v>1414</v>
      </c>
      <c r="D819" s="5" t="s">
        <v>2907</v>
      </c>
      <c r="E819" s="4" t="s">
        <v>1415</v>
      </c>
      <c r="F819" s="4" t="s">
        <v>2034</v>
      </c>
    </row>
    <row r="820" spans="1:6" x14ac:dyDescent="0.25">
      <c r="A820" s="4" t="s">
        <v>256</v>
      </c>
      <c r="B820">
        <v>819</v>
      </c>
      <c r="C820" s="4" t="s">
        <v>1323</v>
      </c>
      <c r="D820" s="5" t="s">
        <v>302</v>
      </c>
      <c r="E820" s="4" t="s">
        <v>302</v>
      </c>
      <c r="F820" s="4" t="s">
        <v>302</v>
      </c>
    </row>
    <row r="821" spans="1:6" x14ac:dyDescent="0.25">
      <c r="A821" s="4" t="s">
        <v>256</v>
      </c>
      <c r="B821">
        <v>820</v>
      </c>
      <c r="C821" s="4" t="s">
        <v>1324</v>
      </c>
      <c r="D821" s="5" t="s">
        <v>2252</v>
      </c>
      <c r="E821" s="4" t="s">
        <v>1325</v>
      </c>
      <c r="F821" s="4" t="s">
        <v>2011</v>
      </c>
    </row>
    <row r="822" spans="1:6" x14ac:dyDescent="0.25">
      <c r="A822" s="4" t="s">
        <v>256</v>
      </c>
      <c r="B822">
        <v>821</v>
      </c>
      <c r="C822" s="4" t="s">
        <v>1326</v>
      </c>
      <c r="D822" s="5" t="s">
        <v>2893</v>
      </c>
      <c r="E822" s="4" t="s">
        <v>1327</v>
      </c>
      <c r="F822" s="4" t="s">
        <v>2012</v>
      </c>
    </row>
    <row r="823" spans="1:6" x14ac:dyDescent="0.25">
      <c r="A823" s="4" t="s">
        <v>256</v>
      </c>
      <c r="B823">
        <v>822</v>
      </c>
      <c r="C823" s="4" t="s">
        <v>1328</v>
      </c>
      <c r="D823" s="5" t="s">
        <v>302</v>
      </c>
      <c r="E823" s="4" t="s">
        <v>302</v>
      </c>
      <c r="F823" s="4" t="s">
        <v>302</v>
      </c>
    </row>
    <row r="824" spans="1:6" x14ac:dyDescent="0.25">
      <c r="A824" s="4" t="s">
        <v>256</v>
      </c>
      <c r="B824">
        <v>823</v>
      </c>
      <c r="C824" s="4" t="s">
        <v>1329</v>
      </c>
      <c r="D824" s="5" t="s">
        <v>302</v>
      </c>
      <c r="E824" s="4" t="s">
        <v>302</v>
      </c>
      <c r="F824" s="4" t="s">
        <v>302</v>
      </c>
    </row>
    <row r="825" spans="1:6" x14ac:dyDescent="0.25">
      <c r="A825" s="4" t="s">
        <v>256</v>
      </c>
      <c r="B825">
        <v>824</v>
      </c>
      <c r="C825" s="4" t="s">
        <v>1330</v>
      </c>
      <c r="D825" s="5" t="s">
        <v>302</v>
      </c>
      <c r="E825" s="4" t="s">
        <v>302</v>
      </c>
      <c r="F825" s="4" t="s">
        <v>302</v>
      </c>
    </row>
    <row r="826" spans="1:6" x14ac:dyDescent="0.25">
      <c r="A826" s="4" t="s">
        <v>256</v>
      </c>
      <c r="B826">
        <v>825</v>
      </c>
      <c r="C826" s="4" t="s">
        <v>1331</v>
      </c>
      <c r="D826" s="5" t="s">
        <v>302</v>
      </c>
      <c r="E826" s="4" t="s">
        <v>302</v>
      </c>
      <c r="F826" s="4" t="s">
        <v>302</v>
      </c>
    </row>
    <row r="827" spans="1:6" x14ac:dyDescent="0.25">
      <c r="A827" s="4" t="s">
        <v>256</v>
      </c>
      <c r="B827">
        <v>826</v>
      </c>
      <c r="C827" s="4" t="s">
        <v>1332</v>
      </c>
      <c r="D827" s="5" t="s">
        <v>302</v>
      </c>
      <c r="E827" s="4" t="s">
        <v>302</v>
      </c>
      <c r="F827" s="4" t="s">
        <v>302</v>
      </c>
    </row>
    <row r="828" spans="1:6" x14ac:dyDescent="0.25">
      <c r="A828" s="4" t="s">
        <v>256</v>
      </c>
      <c r="B828">
        <v>827</v>
      </c>
      <c r="C828" s="4" t="s">
        <v>1333</v>
      </c>
      <c r="D828" s="5" t="s">
        <v>302</v>
      </c>
      <c r="E828" s="4" t="s">
        <v>302</v>
      </c>
      <c r="F828" s="4" t="s">
        <v>302</v>
      </c>
    </row>
    <row r="829" spans="1:6" x14ac:dyDescent="0.25">
      <c r="A829" s="4" t="s">
        <v>256</v>
      </c>
      <c r="B829">
        <v>828</v>
      </c>
      <c r="C829" s="4" t="s">
        <v>1334</v>
      </c>
      <c r="D829" s="5" t="s">
        <v>302</v>
      </c>
      <c r="E829" s="4" t="s">
        <v>302</v>
      </c>
      <c r="F829" s="4" t="s">
        <v>302</v>
      </c>
    </row>
    <row r="830" spans="1:6" x14ac:dyDescent="0.25">
      <c r="A830" s="4" t="s">
        <v>256</v>
      </c>
      <c r="B830">
        <v>829</v>
      </c>
      <c r="C830" s="4" t="s">
        <v>1335</v>
      </c>
      <c r="D830" s="5" t="s">
        <v>302</v>
      </c>
      <c r="E830" s="4" t="s">
        <v>302</v>
      </c>
      <c r="F830" s="4" t="s">
        <v>302</v>
      </c>
    </row>
    <row r="831" spans="1:6" x14ac:dyDescent="0.25">
      <c r="A831" s="4" t="s">
        <v>256</v>
      </c>
      <c r="B831">
        <v>830</v>
      </c>
      <c r="C831" s="4" t="s">
        <v>1336</v>
      </c>
      <c r="D831" s="5" t="s">
        <v>2894</v>
      </c>
      <c r="E831" s="4" t="s">
        <v>1337</v>
      </c>
      <c r="F831" s="4" t="s">
        <v>2013</v>
      </c>
    </row>
    <row r="832" spans="1:6" x14ac:dyDescent="0.25">
      <c r="A832" s="4" t="s">
        <v>256</v>
      </c>
      <c r="B832">
        <v>831</v>
      </c>
      <c r="C832" s="4" t="s">
        <v>1338</v>
      </c>
      <c r="D832" s="5" t="s">
        <v>302</v>
      </c>
      <c r="E832" s="4" t="s">
        <v>302</v>
      </c>
      <c r="F832" s="4" t="s">
        <v>302</v>
      </c>
    </row>
    <row r="833" spans="1:6" x14ac:dyDescent="0.25">
      <c r="A833" s="4" t="s">
        <v>256</v>
      </c>
      <c r="B833">
        <v>832</v>
      </c>
      <c r="C833" s="4" t="s">
        <v>1339</v>
      </c>
      <c r="D833" s="5" t="s">
        <v>302</v>
      </c>
      <c r="E833" s="4" t="s">
        <v>302</v>
      </c>
      <c r="F833" s="4" t="s">
        <v>302</v>
      </c>
    </row>
    <row r="834" spans="1:6" x14ac:dyDescent="0.25">
      <c r="A834" s="4" t="s">
        <v>256</v>
      </c>
      <c r="B834">
        <v>833</v>
      </c>
      <c r="C834" s="4" t="s">
        <v>1340</v>
      </c>
      <c r="D834" s="5" t="s">
        <v>2895</v>
      </c>
      <c r="E834" s="4" t="s">
        <v>1341</v>
      </c>
      <c r="F834" s="4" t="s">
        <v>2014</v>
      </c>
    </row>
    <row r="835" spans="1:6" x14ac:dyDescent="0.25">
      <c r="A835" s="4" t="s">
        <v>256</v>
      </c>
      <c r="B835">
        <v>834</v>
      </c>
      <c r="C835" s="4" t="s">
        <v>1342</v>
      </c>
      <c r="D835" s="5" t="s">
        <v>2896</v>
      </c>
      <c r="E835" s="4" t="s">
        <v>1343</v>
      </c>
      <c r="F835" s="4" t="s">
        <v>2015</v>
      </c>
    </row>
    <row r="836" spans="1:6" x14ac:dyDescent="0.25">
      <c r="A836" s="4" t="s">
        <v>256</v>
      </c>
      <c r="B836">
        <v>835</v>
      </c>
      <c r="C836" s="4" t="s">
        <v>1344</v>
      </c>
      <c r="D836" s="5" t="s">
        <v>302</v>
      </c>
      <c r="E836" s="4" t="s">
        <v>302</v>
      </c>
      <c r="F836" s="4" t="s">
        <v>302</v>
      </c>
    </row>
    <row r="837" spans="1:6" x14ac:dyDescent="0.25">
      <c r="A837" s="4" t="s">
        <v>256</v>
      </c>
      <c r="B837">
        <v>836</v>
      </c>
      <c r="C837" s="4" t="s">
        <v>1345</v>
      </c>
      <c r="D837" s="5" t="s">
        <v>302</v>
      </c>
      <c r="E837" s="4" t="s">
        <v>302</v>
      </c>
      <c r="F837" s="4" t="s">
        <v>302</v>
      </c>
    </row>
    <row r="838" spans="1:6" x14ac:dyDescent="0.25">
      <c r="A838" s="4" t="s">
        <v>256</v>
      </c>
      <c r="B838">
        <v>837</v>
      </c>
      <c r="C838" s="4" t="s">
        <v>293</v>
      </c>
      <c r="D838" s="5" t="s">
        <v>2655</v>
      </c>
      <c r="E838" s="4" t="s">
        <v>294</v>
      </c>
      <c r="F838" s="4" t="s">
        <v>1691</v>
      </c>
    </row>
    <row r="839" spans="1:6" x14ac:dyDescent="0.25">
      <c r="A839" s="4" t="s">
        <v>256</v>
      </c>
      <c r="B839">
        <v>838</v>
      </c>
      <c r="C839" s="4" t="s">
        <v>1346</v>
      </c>
      <c r="D839" s="5" t="s">
        <v>302</v>
      </c>
      <c r="E839" s="4" t="s">
        <v>302</v>
      </c>
      <c r="F839" s="4" t="s">
        <v>302</v>
      </c>
    </row>
    <row r="840" spans="1:6" x14ac:dyDescent="0.25">
      <c r="A840" s="4" t="s">
        <v>256</v>
      </c>
      <c r="B840">
        <v>839</v>
      </c>
      <c r="C840" s="4" t="s">
        <v>1347</v>
      </c>
      <c r="D840" s="5" t="s">
        <v>302</v>
      </c>
      <c r="E840" s="4" t="s">
        <v>302</v>
      </c>
      <c r="F840" s="4" t="s">
        <v>302</v>
      </c>
    </row>
    <row r="841" spans="1:6" x14ac:dyDescent="0.25">
      <c r="A841" s="4" t="s">
        <v>256</v>
      </c>
      <c r="B841">
        <v>840</v>
      </c>
      <c r="C841" s="4" t="s">
        <v>1348</v>
      </c>
      <c r="D841" s="5" t="s">
        <v>2897</v>
      </c>
      <c r="E841" s="4" t="s">
        <v>1349</v>
      </c>
      <c r="F841" s="4" t="s">
        <v>2016</v>
      </c>
    </row>
    <row r="842" spans="1:6" x14ac:dyDescent="0.25">
      <c r="A842" s="4" t="s">
        <v>256</v>
      </c>
      <c r="B842">
        <v>841</v>
      </c>
      <c r="C842" s="4" t="s">
        <v>1350</v>
      </c>
      <c r="D842" s="5" t="s">
        <v>2624</v>
      </c>
      <c r="E842" s="4" t="s">
        <v>1351</v>
      </c>
      <c r="F842" s="4" t="s">
        <v>2017</v>
      </c>
    </row>
    <row r="843" spans="1:6" x14ac:dyDescent="0.25">
      <c r="A843" s="4" t="s">
        <v>256</v>
      </c>
      <c r="B843">
        <v>842</v>
      </c>
      <c r="C843" s="4" t="s">
        <v>1416</v>
      </c>
      <c r="D843" s="5" t="s">
        <v>302</v>
      </c>
      <c r="E843" s="4" t="s">
        <v>302</v>
      </c>
      <c r="F843" s="4" t="s">
        <v>302</v>
      </c>
    </row>
    <row r="844" spans="1:6" x14ac:dyDescent="0.25">
      <c r="A844" s="4" t="s">
        <v>256</v>
      </c>
      <c r="B844">
        <v>843</v>
      </c>
      <c r="C844" s="4" t="s">
        <v>1352</v>
      </c>
      <c r="D844" s="5" t="s">
        <v>302</v>
      </c>
      <c r="E844" s="4" t="s">
        <v>302</v>
      </c>
      <c r="F844" s="4" t="s">
        <v>302</v>
      </c>
    </row>
    <row r="845" spans="1:6" x14ac:dyDescent="0.25">
      <c r="A845" s="4" t="s">
        <v>256</v>
      </c>
      <c r="B845">
        <v>844</v>
      </c>
      <c r="C845" s="4" t="s">
        <v>1353</v>
      </c>
      <c r="D845" s="5" t="s">
        <v>2623</v>
      </c>
      <c r="E845" s="4" t="s">
        <v>1354</v>
      </c>
      <c r="F845" s="4" t="s">
        <v>2018</v>
      </c>
    </row>
    <row r="846" spans="1:6" x14ac:dyDescent="0.25">
      <c r="A846" s="4" t="s">
        <v>256</v>
      </c>
      <c r="B846">
        <v>845</v>
      </c>
      <c r="C846" s="4" t="s">
        <v>1355</v>
      </c>
      <c r="D846" s="5" t="s">
        <v>302</v>
      </c>
      <c r="E846" s="4" t="s">
        <v>302</v>
      </c>
      <c r="F846" s="4" t="s">
        <v>302</v>
      </c>
    </row>
    <row r="847" spans="1:6" x14ac:dyDescent="0.25">
      <c r="A847" s="4" t="s">
        <v>256</v>
      </c>
      <c r="B847">
        <v>846</v>
      </c>
      <c r="C847" s="4" t="s">
        <v>1356</v>
      </c>
      <c r="D847" s="5" t="s">
        <v>2898</v>
      </c>
      <c r="E847" s="4" t="s">
        <v>1357</v>
      </c>
      <c r="F847" s="4" t="s">
        <v>2019</v>
      </c>
    </row>
    <row r="848" spans="1:6" x14ac:dyDescent="0.25">
      <c r="A848" s="4" t="s">
        <v>256</v>
      </c>
      <c r="B848">
        <v>847</v>
      </c>
      <c r="C848" s="4" t="s">
        <v>1358</v>
      </c>
      <c r="D848" s="5" t="s">
        <v>2397</v>
      </c>
      <c r="E848" s="4" t="s">
        <v>1359</v>
      </c>
      <c r="F848" s="4" t="s">
        <v>2020</v>
      </c>
    </row>
    <row r="849" spans="1:6" x14ac:dyDescent="0.25">
      <c r="A849" s="4" t="s">
        <v>256</v>
      </c>
      <c r="B849">
        <v>848</v>
      </c>
      <c r="C849" s="4" t="s">
        <v>1360</v>
      </c>
      <c r="D849" s="5" t="s">
        <v>302</v>
      </c>
      <c r="E849" s="4" t="s">
        <v>302</v>
      </c>
      <c r="F849" s="4" t="s">
        <v>302</v>
      </c>
    </row>
    <row r="850" spans="1:6" x14ac:dyDescent="0.25">
      <c r="A850" s="4" t="s">
        <v>256</v>
      </c>
      <c r="B850">
        <v>849</v>
      </c>
      <c r="C850" s="4" t="s">
        <v>1361</v>
      </c>
      <c r="D850" s="5" t="s">
        <v>302</v>
      </c>
      <c r="E850" s="4" t="s">
        <v>302</v>
      </c>
      <c r="F850" s="4" t="s">
        <v>302</v>
      </c>
    </row>
    <row r="851" spans="1:6" x14ac:dyDescent="0.25">
      <c r="A851" s="4" t="s">
        <v>256</v>
      </c>
      <c r="B851">
        <v>850</v>
      </c>
      <c r="C851" s="4" t="s">
        <v>1362</v>
      </c>
      <c r="D851" s="5" t="s">
        <v>302</v>
      </c>
      <c r="E851" s="4" t="s">
        <v>302</v>
      </c>
      <c r="F851" s="4" t="s">
        <v>302</v>
      </c>
    </row>
    <row r="852" spans="1:6" x14ac:dyDescent="0.25">
      <c r="A852" s="4" t="s">
        <v>256</v>
      </c>
      <c r="B852">
        <v>851</v>
      </c>
      <c r="C852" s="4" t="s">
        <v>1363</v>
      </c>
      <c r="D852" s="5" t="s">
        <v>2899</v>
      </c>
      <c r="E852" s="4" t="s">
        <v>1364</v>
      </c>
      <c r="F852" s="4" t="s">
        <v>2021</v>
      </c>
    </row>
    <row r="853" spans="1:6" x14ac:dyDescent="0.25">
      <c r="A853" s="4" t="s">
        <v>256</v>
      </c>
      <c r="B853">
        <v>852</v>
      </c>
      <c r="C853" s="4" t="s">
        <v>1365</v>
      </c>
      <c r="D853" s="5" t="s">
        <v>302</v>
      </c>
      <c r="E853" s="4" t="s">
        <v>302</v>
      </c>
      <c r="F853" s="4" t="s">
        <v>302</v>
      </c>
    </row>
    <row r="854" spans="1:6" x14ac:dyDescent="0.25">
      <c r="A854" s="4" t="s">
        <v>256</v>
      </c>
      <c r="B854">
        <v>853</v>
      </c>
      <c r="C854" s="4" t="s">
        <v>1366</v>
      </c>
      <c r="D854" s="5" t="s">
        <v>2400</v>
      </c>
      <c r="E854" s="4" t="s">
        <v>1367</v>
      </c>
      <c r="F854" s="4" t="s">
        <v>2022</v>
      </c>
    </row>
    <row r="855" spans="1:6" x14ac:dyDescent="0.25">
      <c r="A855" s="4" t="s">
        <v>256</v>
      </c>
      <c r="B855">
        <v>854</v>
      </c>
      <c r="C855" s="4" t="s">
        <v>1368</v>
      </c>
      <c r="D855" s="5" t="s">
        <v>2900</v>
      </c>
      <c r="E855" s="4" t="s">
        <v>1369</v>
      </c>
      <c r="F855" s="4" t="s">
        <v>2023</v>
      </c>
    </row>
    <row r="856" spans="1:6" x14ac:dyDescent="0.25">
      <c r="A856" s="4" t="s">
        <v>256</v>
      </c>
      <c r="B856">
        <v>855</v>
      </c>
      <c r="C856" s="4" t="s">
        <v>1370</v>
      </c>
      <c r="D856" s="5" t="s">
        <v>302</v>
      </c>
      <c r="E856" s="4" t="s">
        <v>302</v>
      </c>
      <c r="F856" s="4" t="s">
        <v>302</v>
      </c>
    </row>
    <row r="857" spans="1:6" x14ac:dyDescent="0.25">
      <c r="A857" s="4" t="s">
        <v>256</v>
      </c>
      <c r="B857">
        <v>856</v>
      </c>
      <c r="C857" s="4" t="s">
        <v>1371</v>
      </c>
      <c r="D857" s="5" t="s">
        <v>302</v>
      </c>
      <c r="E857" s="4" t="s">
        <v>302</v>
      </c>
      <c r="F857" s="4" t="s">
        <v>302</v>
      </c>
    </row>
    <row r="858" spans="1:6" x14ac:dyDescent="0.25">
      <c r="A858" s="4" t="s">
        <v>256</v>
      </c>
      <c r="B858">
        <v>857</v>
      </c>
      <c r="C858" s="4" t="s">
        <v>1372</v>
      </c>
      <c r="D858" s="5" t="s">
        <v>302</v>
      </c>
      <c r="E858" s="4" t="s">
        <v>302</v>
      </c>
      <c r="F858" s="4" t="s">
        <v>302</v>
      </c>
    </row>
    <row r="859" spans="1:6" x14ac:dyDescent="0.25">
      <c r="A859" s="4" t="s">
        <v>256</v>
      </c>
      <c r="B859">
        <v>858</v>
      </c>
      <c r="C859" s="4" t="s">
        <v>1373</v>
      </c>
      <c r="D859" s="5" t="s">
        <v>2797</v>
      </c>
      <c r="E859" s="4" t="s">
        <v>1374</v>
      </c>
      <c r="F859" s="4" t="s">
        <v>2024</v>
      </c>
    </row>
    <row r="860" spans="1:6" x14ac:dyDescent="0.25">
      <c r="A860" s="4" t="s">
        <v>256</v>
      </c>
      <c r="B860">
        <v>859</v>
      </c>
      <c r="C860" s="4" t="s">
        <v>1375</v>
      </c>
      <c r="D860" s="5" t="s">
        <v>302</v>
      </c>
      <c r="E860" s="4" t="s">
        <v>302</v>
      </c>
      <c r="F860" s="4" t="s">
        <v>302</v>
      </c>
    </row>
    <row r="861" spans="1:6" x14ac:dyDescent="0.25">
      <c r="A861" s="4" t="s">
        <v>256</v>
      </c>
      <c r="B861">
        <v>860</v>
      </c>
      <c r="C861" s="4" t="s">
        <v>1376</v>
      </c>
      <c r="D861" s="5" t="s">
        <v>302</v>
      </c>
      <c r="E861" s="4" t="s">
        <v>302</v>
      </c>
      <c r="F861" s="4" t="s">
        <v>302</v>
      </c>
    </row>
    <row r="862" spans="1:6" x14ac:dyDescent="0.25">
      <c r="A862" s="4" t="s">
        <v>256</v>
      </c>
      <c r="B862">
        <v>861</v>
      </c>
      <c r="C862" s="4" t="s">
        <v>1377</v>
      </c>
      <c r="D862" s="5" t="s">
        <v>2901</v>
      </c>
      <c r="E862" s="4" t="s">
        <v>1378</v>
      </c>
      <c r="F862" s="4" t="s">
        <v>2025</v>
      </c>
    </row>
    <row r="863" spans="1:6" x14ac:dyDescent="0.25">
      <c r="A863" s="4" t="s">
        <v>256</v>
      </c>
      <c r="B863">
        <v>862</v>
      </c>
      <c r="C863" s="4" t="s">
        <v>1379</v>
      </c>
      <c r="D863" s="5" t="s">
        <v>2902</v>
      </c>
      <c r="E863" s="4" t="s">
        <v>1380</v>
      </c>
      <c r="F863" s="4" t="s">
        <v>2026</v>
      </c>
    </row>
    <row r="864" spans="1:6" x14ac:dyDescent="0.25">
      <c r="A864" s="4" t="s">
        <v>256</v>
      </c>
      <c r="B864">
        <v>863</v>
      </c>
      <c r="C864" s="4" t="s">
        <v>1381</v>
      </c>
      <c r="D864" s="5" t="s">
        <v>302</v>
      </c>
      <c r="E864" s="4" t="s">
        <v>302</v>
      </c>
      <c r="F864" s="4" t="s">
        <v>302</v>
      </c>
    </row>
    <row r="865" spans="1:6" x14ac:dyDescent="0.25">
      <c r="A865" s="4" t="s">
        <v>256</v>
      </c>
      <c r="B865">
        <v>864</v>
      </c>
      <c r="C865" s="4" t="s">
        <v>1382</v>
      </c>
      <c r="D865" s="5" t="s">
        <v>302</v>
      </c>
      <c r="E865" s="4" t="s">
        <v>302</v>
      </c>
      <c r="F865" s="4" t="s">
        <v>302</v>
      </c>
    </row>
    <row r="866" spans="1:6" x14ac:dyDescent="0.25">
      <c r="A866" s="4" t="s">
        <v>256</v>
      </c>
      <c r="B866">
        <v>865</v>
      </c>
      <c r="C866" s="4" t="s">
        <v>1383</v>
      </c>
      <c r="D866" s="5" t="s">
        <v>302</v>
      </c>
      <c r="E866" s="4" t="s">
        <v>302</v>
      </c>
      <c r="F866" s="4" t="s">
        <v>302</v>
      </c>
    </row>
    <row r="867" spans="1:6" x14ac:dyDescent="0.25">
      <c r="A867" s="4" t="s">
        <v>256</v>
      </c>
      <c r="B867">
        <v>866</v>
      </c>
      <c r="C867" s="4" t="s">
        <v>1384</v>
      </c>
      <c r="D867" s="5" t="s">
        <v>302</v>
      </c>
      <c r="E867" s="4" t="s">
        <v>302</v>
      </c>
      <c r="F867" s="4" t="s">
        <v>302</v>
      </c>
    </row>
    <row r="868" spans="1:6" x14ac:dyDescent="0.25">
      <c r="A868" s="4" t="s">
        <v>256</v>
      </c>
      <c r="B868">
        <v>867</v>
      </c>
      <c r="C868" s="4" t="s">
        <v>1385</v>
      </c>
      <c r="D868" s="5" t="s">
        <v>302</v>
      </c>
      <c r="E868" s="4" t="s">
        <v>302</v>
      </c>
      <c r="F868" s="4" t="s">
        <v>302</v>
      </c>
    </row>
    <row r="869" spans="1:6" x14ac:dyDescent="0.25">
      <c r="A869" s="4" t="s">
        <v>256</v>
      </c>
      <c r="B869">
        <v>868</v>
      </c>
      <c r="C869" s="4" t="s">
        <v>1386</v>
      </c>
      <c r="D869" s="5" t="s">
        <v>302</v>
      </c>
      <c r="E869" s="4" t="s">
        <v>302</v>
      </c>
      <c r="F869" s="4" t="s">
        <v>302</v>
      </c>
    </row>
    <row r="870" spans="1:6" x14ac:dyDescent="0.25">
      <c r="A870" s="4" t="s">
        <v>256</v>
      </c>
      <c r="B870">
        <v>869</v>
      </c>
      <c r="C870" s="4" t="s">
        <v>1387</v>
      </c>
      <c r="D870" s="5" t="s">
        <v>302</v>
      </c>
      <c r="E870" s="4" t="s">
        <v>302</v>
      </c>
      <c r="F870" s="4" t="s">
        <v>302</v>
      </c>
    </row>
    <row r="871" spans="1:6" x14ac:dyDescent="0.25">
      <c r="A871" s="4" t="s">
        <v>256</v>
      </c>
      <c r="B871">
        <v>870</v>
      </c>
      <c r="C871" s="4" t="s">
        <v>1388</v>
      </c>
      <c r="D871" s="5" t="s">
        <v>302</v>
      </c>
      <c r="E871" s="4" t="s">
        <v>302</v>
      </c>
      <c r="F871" s="4" t="s">
        <v>302</v>
      </c>
    </row>
    <row r="872" spans="1:6" x14ac:dyDescent="0.25">
      <c r="A872" s="4" t="s">
        <v>256</v>
      </c>
      <c r="B872">
        <v>871</v>
      </c>
      <c r="C872" s="4" t="s">
        <v>1389</v>
      </c>
      <c r="D872" s="5" t="s">
        <v>302</v>
      </c>
      <c r="E872" s="4" t="s">
        <v>302</v>
      </c>
      <c r="F872" s="4" t="s">
        <v>302</v>
      </c>
    </row>
    <row r="873" spans="1:6" x14ac:dyDescent="0.25">
      <c r="A873" s="4" t="s">
        <v>256</v>
      </c>
      <c r="B873">
        <v>872</v>
      </c>
      <c r="C873" s="4" t="s">
        <v>1390</v>
      </c>
      <c r="D873" s="5" t="s">
        <v>2903</v>
      </c>
      <c r="E873" s="4" t="s">
        <v>1391</v>
      </c>
      <c r="F873" s="4" t="s">
        <v>2027</v>
      </c>
    </row>
    <row r="874" spans="1:6" x14ac:dyDescent="0.25">
      <c r="A874" s="4" t="s">
        <v>256</v>
      </c>
      <c r="B874">
        <v>873</v>
      </c>
      <c r="C874" s="4" t="s">
        <v>1392</v>
      </c>
      <c r="D874" s="5" t="s">
        <v>302</v>
      </c>
      <c r="E874" s="4" t="s">
        <v>302</v>
      </c>
      <c r="F874" s="4" t="s">
        <v>302</v>
      </c>
    </row>
    <row r="875" spans="1:6" x14ac:dyDescent="0.25">
      <c r="A875" s="4" t="s">
        <v>256</v>
      </c>
      <c r="B875">
        <v>874</v>
      </c>
      <c r="C875" s="4" t="s">
        <v>1393</v>
      </c>
      <c r="D875" s="5" t="s">
        <v>302</v>
      </c>
      <c r="E875" s="4" t="s">
        <v>302</v>
      </c>
      <c r="F875" s="4" t="s">
        <v>302</v>
      </c>
    </row>
    <row r="876" spans="1:6" x14ac:dyDescent="0.25">
      <c r="A876" s="4" t="s">
        <v>256</v>
      </c>
      <c r="B876">
        <v>875</v>
      </c>
      <c r="C876" s="4" t="s">
        <v>1394</v>
      </c>
      <c r="D876" s="5" t="s">
        <v>2904</v>
      </c>
      <c r="E876" s="4" t="s">
        <v>1395</v>
      </c>
      <c r="F876" s="4" t="s">
        <v>2028</v>
      </c>
    </row>
    <row r="877" spans="1:6" x14ac:dyDescent="0.25">
      <c r="A877" s="4" t="s">
        <v>256</v>
      </c>
      <c r="B877">
        <v>876</v>
      </c>
      <c r="C877" s="4" t="s">
        <v>1396</v>
      </c>
      <c r="D877" s="5" t="s">
        <v>302</v>
      </c>
      <c r="E877" s="4" t="s">
        <v>302</v>
      </c>
      <c r="F877" s="4" t="s">
        <v>302</v>
      </c>
    </row>
    <row r="878" spans="1:6" x14ac:dyDescent="0.25">
      <c r="A878" s="4" t="s">
        <v>256</v>
      </c>
      <c r="B878">
        <v>877</v>
      </c>
      <c r="C878" s="4" t="s">
        <v>299</v>
      </c>
      <c r="D878" s="5" t="s">
        <v>2658</v>
      </c>
      <c r="E878" s="4" t="s">
        <v>300</v>
      </c>
      <c r="F878" s="4" t="s">
        <v>1694</v>
      </c>
    </row>
    <row r="879" spans="1:6" x14ac:dyDescent="0.25">
      <c r="A879" s="4" t="s">
        <v>256</v>
      </c>
      <c r="B879">
        <v>878</v>
      </c>
      <c r="C879" s="4" t="s">
        <v>1397</v>
      </c>
      <c r="D879" s="5" t="s">
        <v>302</v>
      </c>
      <c r="E879" s="4" t="s">
        <v>302</v>
      </c>
      <c r="F879" s="4" t="s">
        <v>302</v>
      </c>
    </row>
    <row r="880" spans="1:6" x14ac:dyDescent="0.25">
      <c r="A880" s="4" t="s">
        <v>256</v>
      </c>
      <c r="B880">
        <v>879</v>
      </c>
      <c r="C880" s="4" t="s">
        <v>1398</v>
      </c>
      <c r="D880" s="5" t="s">
        <v>302</v>
      </c>
      <c r="E880" s="4" t="s">
        <v>302</v>
      </c>
      <c r="F880" s="4" t="s">
        <v>302</v>
      </c>
    </row>
    <row r="881" spans="1:6" x14ac:dyDescent="0.25">
      <c r="A881" s="4" t="s">
        <v>256</v>
      </c>
      <c r="B881">
        <v>880</v>
      </c>
      <c r="C881" s="4" t="s">
        <v>1399</v>
      </c>
      <c r="D881" s="5" t="s">
        <v>2905</v>
      </c>
      <c r="E881" s="4" t="s">
        <v>1400</v>
      </c>
      <c r="F881" s="4" t="s">
        <v>2029</v>
      </c>
    </row>
    <row r="882" spans="1:6" x14ac:dyDescent="0.25">
      <c r="A882" s="4" t="s">
        <v>256</v>
      </c>
      <c r="B882">
        <v>881</v>
      </c>
      <c r="C882" s="4" t="s">
        <v>1401</v>
      </c>
      <c r="D882" s="5" t="s">
        <v>302</v>
      </c>
      <c r="E882" s="4" t="s">
        <v>302</v>
      </c>
      <c r="F882" s="4" t="s">
        <v>302</v>
      </c>
    </row>
    <row r="883" spans="1:6" x14ac:dyDescent="0.25">
      <c r="A883" s="4" t="s">
        <v>256</v>
      </c>
      <c r="B883">
        <v>882</v>
      </c>
      <c r="C883" s="4" t="s">
        <v>1402</v>
      </c>
      <c r="D883" s="5" t="s">
        <v>302</v>
      </c>
      <c r="E883" s="4" t="s">
        <v>302</v>
      </c>
      <c r="F883" s="4" t="s">
        <v>302</v>
      </c>
    </row>
    <row r="884" spans="1:6" x14ac:dyDescent="0.25">
      <c r="A884" s="4" t="s">
        <v>256</v>
      </c>
      <c r="B884">
        <v>883</v>
      </c>
      <c r="C884" s="4" t="s">
        <v>1403</v>
      </c>
      <c r="D884" s="5" t="s">
        <v>302</v>
      </c>
      <c r="E884" s="4" t="s">
        <v>302</v>
      </c>
      <c r="F884" s="4" t="s">
        <v>302</v>
      </c>
    </row>
    <row r="885" spans="1:6" x14ac:dyDescent="0.25">
      <c r="A885" s="4" t="s">
        <v>256</v>
      </c>
      <c r="B885">
        <v>884</v>
      </c>
      <c r="C885" s="4" t="s">
        <v>1404</v>
      </c>
      <c r="D885" s="5" t="s">
        <v>302</v>
      </c>
      <c r="E885" s="4" t="s">
        <v>302</v>
      </c>
      <c r="F885" s="4" t="s">
        <v>302</v>
      </c>
    </row>
    <row r="886" spans="1:6" x14ac:dyDescent="0.25">
      <c r="A886" s="4" t="s">
        <v>256</v>
      </c>
      <c r="B886">
        <v>885</v>
      </c>
      <c r="C886" s="4" t="s">
        <v>1405</v>
      </c>
      <c r="D886" s="5" t="s">
        <v>2401</v>
      </c>
      <c r="E886" s="4" t="s">
        <v>1406</v>
      </c>
      <c r="F886" s="4" t="s">
        <v>2030</v>
      </c>
    </row>
    <row r="887" spans="1:6" x14ac:dyDescent="0.25">
      <c r="A887" s="4" t="s">
        <v>256</v>
      </c>
      <c r="B887">
        <v>886</v>
      </c>
      <c r="C887" s="4" t="s">
        <v>1407</v>
      </c>
      <c r="D887" s="5" t="s">
        <v>1408</v>
      </c>
      <c r="E887" s="4" t="s">
        <v>1409</v>
      </c>
      <c r="F887" s="4" t="s">
        <v>2031</v>
      </c>
    </row>
    <row r="888" spans="1:6" x14ac:dyDescent="0.25">
      <c r="A888" s="4" t="s">
        <v>256</v>
      </c>
      <c r="B888">
        <v>887</v>
      </c>
      <c r="C888" s="4" t="s">
        <v>1410</v>
      </c>
      <c r="D888" s="5" t="s">
        <v>2401</v>
      </c>
      <c r="E888" s="4" t="s">
        <v>1411</v>
      </c>
      <c r="F888" s="4" t="s">
        <v>2032</v>
      </c>
    </row>
    <row r="889" spans="1:6" x14ac:dyDescent="0.25">
      <c r="A889" s="4" t="s">
        <v>256</v>
      </c>
      <c r="B889">
        <v>888</v>
      </c>
      <c r="C889" s="4" t="s">
        <v>1412</v>
      </c>
      <c r="D889" s="5" t="s">
        <v>2906</v>
      </c>
      <c r="E889" s="4" t="s">
        <v>1413</v>
      </c>
      <c r="F889" s="4" t="s">
        <v>2033</v>
      </c>
    </row>
    <row r="890" spans="1:6" x14ac:dyDescent="0.25">
      <c r="A890" s="4" t="s">
        <v>256</v>
      </c>
      <c r="B890">
        <v>889</v>
      </c>
      <c r="C890" s="4" t="s">
        <v>1414</v>
      </c>
      <c r="D890" s="5" t="s">
        <v>2907</v>
      </c>
      <c r="E890" s="4" t="s">
        <v>1415</v>
      </c>
      <c r="F890" s="4" t="s">
        <v>2034</v>
      </c>
    </row>
    <row r="891" spans="1:6" x14ac:dyDescent="0.25">
      <c r="A891" s="4" t="s">
        <v>256</v>
      </c>
      <c r="B891">
        <v>890</v>
      </c>
      <c r="C891" s="4" t="s">
        <v>165</v>
      </c>
      <c r="D891" s="5" t="s">
        <v>2908</v>
      </c>
      <c r="E891" s="4" t="s">
        <v>1417</v>
      </c>
      <c r="F891" s="4" t="s">
        <v>2035</v>
      </c>
    </row>
    <row r="892" spans="1:6" x14ac:dyDescent="0.25">
      <c r="A892" s="4" t="s">
        <v>256</v>
      </c>
      <c r="B892">
        <v>891</v>
      </c>
      <c r="C892" s="4" t="s">
        <v>12</v>
      </c>
      <c r="D892" s="5" t="s">
        <v>2909</v>
      </c>
      <c r="E892" s="4" t="s">
        <v>1418</v>
      </c>
      <c r="F892" s="4" t="s">
        <v>2036</v>
      </c>
    </row>
    <row r="893" spans="1:6" x14ac:dyDescent="0.25">
      <c r="A893" s="4" t="s">
        <v>256</v>
      </c>
      <c r="B893">
        <v>892</v>
      </c>
      <c r="C893" s="4" t="s">
        <v>20</v>
      </c>
      <c r="D893" s="5" t="s">
        <v>2910</v>
      </c>
      <c r="E893" s="4" t="s">
        <v>1419</v>
      </c>
      <c r="F893" s="4" t="s">
        <v>2037</v>
      </c>
    </row>
    <row r="894" spans="1:6" x14ac:dyDescent="0.25">
      <c r="A894" s="4" t="s">
        <v>256</v>
      </c>
      <c r="B894">
        <v>893</v>
      </c>
      <c r="C894" s="4" t="s">
        <v>58</v>
      </c>
      <c r="D894" s="5" t="s">
        <v>2911</v>
      </c>
      <c r="E894" s="4" t="s">
        <v>1420</v>
      </c>
      <c r="F894" s="4" t="s">
        <v>2038</v>
      </c>
    </row>
    <row r="895" spans="1:6" x14ac:dyDescent="0.25">
      <c r="A895" s="4" t="s">
        <v>256</v>
      </c>
      <c r="B895">
        <v>894</v>
      </c>
      <c r="C895" s="4" t="s">
        <v>62</v>
      </c>
      <c r="D895" s="5" t="s">
        <v>2912</v>
      </c>
      <c r="E895" s="4" t="s">
        <v>1421</v>
      </c>
      <c r="F895" s="4" t="s">
        <v>2039</v>
      </c>
    </row>
    <row r="896" spans="1:6" x14ac:dyDescent="0.25">
      <c r="A896" s="4" t="s">
        <v>256</v>
      </c>
      <c r="B896">
        <v>895</v>
      </c>
      <c r="C896" s="4" t="s">
        <v>64</v>
      </c>
      <c r="D896" s="5" t="s">
        <v>2913</v>
      </c>
      <c r="E896" s="4" t="s">
        <v>1422</v>
      </c>
      <c r="F896" s="4" t="s">
        <v>2040</v>
      </c>
    </row>
    <row r="897" spans="1:6" x14ac:dyDescent="0.25">
      <c r="A897" s="4" t="s">
        <v>256</v>
      </c>
      <c r="B897">
        <v>896</v>
      </c>
      <c r="C897" s="4" t="s">
        <v>65</v>
      </c>
      <c r="D897" s="5" t="s">
        <v>2914</v>
      </c>
      <c r="E897" s="4" t="s">
        <v>1423</v>
      </c>
      <c r="F897" s="4" t="s">
        <v>2041</v>
      </c>
    </row>
    <row r="898" spans="1:6" x14ac:dyDescent="0.25">
      <c r="A898" s="4" t="s">
        <v>256</v>
      </c>
      <c r="B898">
        <v>897</v>
      </c>
      <c r="C898" s="4" t="s">
        <v>80</v>
      </c>
      <c r="D898" s="5" t="s">
        <v>2915</v>
      </c>
      <c r="E898" s="4" t="s">
        <v>1424</v>
      </c>
      <c r="F898" s="4" t="s">
        <v>2042</v>
      </c>
    </row>
    <row r="899" spans="1:6" x14ac:dyDescent="0.25">
      <c r="A899" s="4" t="s">
        <v>256</v>
      </c>
      <c r="B899">
        <v>898</v>
      </c>
      <c r="C899" s="4" t="s">
        <v>84</v>
      </c>
      <c r="D899" s="5" t="s">
        <v>2916</v>
      </c>
      <c r="E899" s="4" t="s">
        <v>1425</v>
      </c>
      <c r="F899" s="4" t="s">
        <v>2043</v>
      </c>
    </row>
    <row r="900" spans="1:6" x14ac:dyDescent="0.25">
      <c r="A900" s="4" t="s">
        <v>256</v>
      </c>
      <c r="B900">
        <v>899</v>
      </c>
      <c r="C900" s="4" t="s">
        <v>94</v>
      </c>
      <c r="D900" s="5" t="s">
        <v>2917</v>
      </c>
      <c r="E900" s="4" t="s">
        <v>1426</v>
      </c>
      <c r="F900" s="4" t="s">
        <v>2044</v>
      </c>
    </row>
    <row r="901" spans="1:6" x14ac:dyDescent="0.25">
      <c r="A901" s="4" t="s">
        <v>256</v>
      </c>
      <c r="B901">
        <v>900</v>
      </c>
      <c r="C901" s="4" t="s">
        <v>124</v>
      </c>
      <c r="D901" s="5" t="s">
        <v>2918</v>
      </c>
      <c r="E901" s="4" t="s">
        <v>1427</v>
      </c>
      <c r="F901" s="4" t="s">
        <v>2045</v>
      </c>
    </row>
    <row r="902" spans="1:6" x14ac:dyDescent="0.25">
      <c r="A902" s="4" t="s">
        <v>256</v>
      </c>
      <c r="B902">
        <v>901</v>
      </c>
      <c r="C902" s="4" t="s">
        <v>150</v>
      </c>
      <c r="D902" s="5" t="s">
        <v>2919</v>
      </c>
      <c r="E902" s="4" t="s">
        <v>1428</v>
      </c>
      <c r="F902" s="4" t="s">
        <v>2046</v>
      </c>
    </row>
    <row r="903" spans="1:6" x14ac:dyDescent="0.25">
      <c r="A903" s="4" t="s">
        <v>256</v>
      </c>
      <c r="B903">
        <v>902</v>
      </c>
      <c r="C903" s="4" t="s">
        <v>151</v>
      </c>
      <c r="D903" s="5" t="s">
        <v>509</v>
      </c>
      <c r="E903" s="4" t="s">
        <v>1429</v>
      </c>
      <c r="F903" s="4" t="s">
        <v>2047</v>
      </c>
    </row>
    <row r="904" spans="1:6" x14ac:dyDescent="0.25">
      <c r="A904" s="4" t="s">
        <v>256</v>
      </c>
      <c r="B904">
        <v>903</v>
      </c>
      <c r="C904" s="4" t="s">
        <v>166</v>
      </c>
      <c r="D904" s="5" t="s">
        <v>2920</v>
      </c>
      <c r="E904" s="4" t="s">
        <v>1430</v>
      </c>
      <c r="F904" s="4" t="s">
        <v>2048</v>
      </c>
    </row>
    <row r="905" spans="1:6" x14ac:dyDescent="0.25">
      <c r="A905" s="4" t="s">
        <v>256</v>
      </c>
      <c r="B905">
        <v>904</v>
      </c>
      <c r="C905" s="4" t="s">
        <v>22</v>
      </c>
      <c r="D905" s="5" t="s">
        <v>2921</v>
      </c>
      <c r="E905" s="4" t="s">
        <v>1431</v>
      </c>
      <c r="F905" s="4" t="s">
        <v>2049</v>
      </c>
    </row>
    <row r="906" spans="1:6" x14ac:dyDescent="0.25">
      <c r="A906" s="4" t="s">
        <v>256</v>
      </c>
      <c r="B906">
        <v>905</v>
      </c>
      <c r="C906" s="4" t="s">
        <v>1432</v>
      </c>
      <c r="D906" s="5" t="s">
        <v>2801</v>
      </c>
      <c r="E906" s="4" t="s">
        <v>1433</v>
      </c>
      <c r="F906" s="4" t="s">
        <v>2050</v>
      </c>
    </row>
    <row r="907" spans="1:6" x14ac:dyDescent="0.25">
      <c r="A907" s="4" t="s">
        <v>256</v>
      </c>
      <c r="B907">
        <v>906</v>
      </c>
      <c r="C907" s="4" t="s">
        <v>22</v>
      </c>
      <c r="D907" s="5" t="s">
        <v>2921</v>
      </c>
      <c r="E907" s="4" t="s">
        <v>1431</v>
      </c>
      <c r="F907" s="4" t="s">
        <v>2049</v>
      </c>
    </row>
    <row r="908" spans="1:6" x14ac:dyDescent="0.25">
      <c r="A908" s="4" t="s">
        <v>256</v>
      </c>
      <c r="B908">
        <v>907</v>
      </c>
      <c r="C908" s="4" t="s">
        <v>57</v>
      </c>
      <c r="D908" s="5" t="s">
        <v>2922</v>
      </c>
      <c r="E908" s="4" t="s">
        <v>1434</v>
      </c>
      <c r="F908" s="4" t="s">
        <v>2051</v>
      </c>
    </row>
    <row r="909" spans="1:6" x14ac:dyDescent="0.25">
      <c r="A909" s="4" t="s">
        <v>256</v>
      </c>
      <c r="B909">
        <v>908</v>
      </c>
      <c r="C909" s="4" t="s">
        <v>72</v>
      </c>
      <c r="D909" s="5" t="s">
        <v>2923</v>
      </c>
      <c r="E909" s="4" t="s">
        <v>1435</v>
      </c>
      <c r="F909" s="4" t="s">
        <v>2052</v>
      </c>
    </row>
    <row r="910" spans="1:6" x14ac:dyDescent="0.25">
      <c r="A910" s="4" t="s">
        <v>256</v>
      </c>
      <c r="B910">
        <v>909</v>
      </c>
      <c r="C910" s="4" t="s">
        <v>55</v>
      </c>
      <c r="D910" s="5" t="s">
        <v>2924</v>
      </c>
      <c r="E910" s="4" t="s">
        <v>1436</v>
      </c>
      <c r="F910" s="4" t="s">
        <v>2053</v>
      </c>
    </row>
    <row r="911" spans="1:6" x14ac:dyDescent="0.25">
      <c r="A911" s="4" t="s">
        <v>256</v>
      </c>
      <c r="B911">
        <v>910</v>
      </c>
      <c r="C911" s="4" t="s">
        <v>4</v>
      </c>
      <c r="D911" s="5" t="s">
        <v>2925</v>
      </c>
      <c r="E911" s="4" t="s">
        <v>1437</v>
      </c>
      <c r="F911" s="4" t="s">
        <v>2054</v>
      </c>
    </row>
    <row r="912" spans="1:6" x14ac:dyDescent="0.25">
      <c r="A912" s="4" t="s">
        <v>256</v>
      </c>
      <c r="B912">
        <v>911</v>
      </c>
      <c r="C912" s="4" t="s">
        <v>1438</v>
      </c>
      <c r="D912" s="5" t="s">
        <v>2926</v>
      </c>
      <c r="E912" s="4" t="s">
        <v>1439</v>
      </c>
      <c r="F912" s="4" t="s">
        <v>2055</v>
      </c>
    </row>
    <row r="913" spans="1:6" x14ac:dyDescent="0.25">
      <c r="A913" s="4" t="s">
        <v>256</v>
      </c>
      <c r="B913">
        <v>912</v>
      </c>
      <c r="C913" s="4" t="s">
        <v>57</v>
      </c>
      <c r="D913" s="5" t="s">
        <v>2922</v>
      </c>
      <c r="E913" s="4" t="s">
        <v>1434</v>
      </c>
      <c r="F913" s="4" t="s">
        <v>2051</v>
      </c>
    </row>
    <row r="914" spans="1:6" x14ac:dyDescent="0.25">
      <c r="A914" s="4" t="s">
        <v>256</v>
      </c>
      <c r="B914">
        <v>913</v>
      </c>
      <c r="C914" s="4" t="s">
        <v>1</v>
      </c>
      <c r="D914" s="5" t="s">
        <v>2927</v>
      </c>
      <c r="E914" s="4" t="s">
        <v>1443</v>
      </c>
      <c r="F914" s="4" t="s">
        <v>2056</v>
      </c>
    </row>
    <row r="915" spans="1:6" x14ac:dyDescent="0.25">
      <c r="A915" s="4" t="s">
        <v>256</v>
      </c>
      <c r="B915">
        <v>914</v>
      </c>
      <c r="C915" s="4" t="s">
        <v>2</v>
      </c>
      <c r="D915" s="5" t="s">
        <v>302</v>
      </c>
      <c r="E915" s="4" t="s">
        <v>302</v>
      </c>
      <c r="F915" s="4" t="s">
        <v>302</v>
      </c>
    </row>
    <row r="916" spans="1:6" x14ac:dyDescent="0.25">
      <c r="A916" s="4" t="s">
        <v>256</v>
      </c>
      <c r="B916">
        <v>915</v>
      </c>
      <c r="C916" s="4" t="s">
        <v>197</v>
      </c>
      <c r="D916" s="5" t="s">
        <v>2928</v>
      </c>
      <c r="E916" s="4" t="s">
        <v>1444</v>
      </c>
      <c r="F916" s="4" t="s">
        <v>2057</v>
      </c>
    </row>
    <row r="917" spans="1:6" x14ac:dyDescent="0.25">
      <c r="A917" s="4" t="s">
        <v>256</v>
      </c>
      <c r="B917">
        <v>916</v>
      </c>
      <c r="C917" s="4" t="s">
        <v>198</v>
      </c>
      <c r="D917" s="5" t="s">
        <v>2568</v>
      </c>
      <c r="E917" s="4" t="s">
        <v>2596</v>
      </c>
      <c r="F917" s="4" t="s">
        <v>2596</v>
      </c>
    </row>
    <row r="918" spans="1:6" x14ac:dyDescent="0.25">
      <c r="A918" s="4" t="s">
        <v>256</v>
      </c>
      <c r="B918">
        <v>917</v>
      </c>
      <c r="C918" s="4" t="s">
        <v>182</v>
      </c>
      <c r="D918" s="5" t="s">
        <v>2929</v>
      </c>
      <c r="E918" s="4" t="s">
        <v>1445</v>
      </c>
      <c r="F918" s="4" t="s">
        <v>2058</v>
      </c>
    </row>
    <row r="919" spans="1:6" x14ac:dyDescent="0.25">
      <c r="A919" s="4" t="s">
        <v>256</v>
      </c>
      <c r="B919">
        <v>918</v>
      </c>
      <c r="C919" s="4" t="s">
        <v>3</v>
      </c>
      <c r="D919" s="5" t="s">
        <v>2930</v>
      </c>
      <c r="E919" s="4" t="s">
        <v>1446</v>
      </c>
      <c r="F919" s="4" t="s">
        <v>2059</v>
      </c>
    </row>
    <row r="920" spans="1:6" x14ac:dyDescent="0.25">
      <c r="A920" s="4" t="s">
        <v>256</v>
      </c>
      <c r="B920">
        <v>919</v>
      </c>
      <c r="C920" s="4" t="s">
        <v>4</v>
      </c>
      <c r="D920" s="5" t="s">
        <v>2925</v>
      </c>
      <c r="E920" s="4" t="s">
        <v>1437</v>
      </c>
      <c r="F920" s="4" t="s">
        <v>2054</v>
      </c>
    </row>
    <row r="921" spans="1:6" x14ac:dyDescent="0.25">
      <c r="A921" s="4" t="s">
        <v>256</v>
      </c>
      <c r="B921">
        <v>920</v>
      </c>
      <c r="C921" s="4" t="s">
        <v>5</v>
      </c>
      <c r="D921" s="5" t="s">
        <v>2931</v>
      </c>
      <c r="E921" s="4" t="s">
        <v>1447</v>
      </c>
      <c r="F921" s="4" t="s">
        <v>2060</v>
      </c>
    </row>
    <row r="922" spans="1:6" x14ac:dyDescent="0.25">
      <c r="A922" s="4" t="s">
        <v>256</v>
      </c>
      <c r="B922">
        <v>921</v>
      </c>
      <c r="C922" s="4" t="s">
        <v>6</v>
      </c>
      <c r="D922" s="5" t="s">
        <v>2903</v>
      </c>
      <c r="E922" s="4" t="s">
        <v>1448</v>
      </c>
      <c r="F922" s="4" t="s">
        <v>2061</v>
      </c>
    </row>
    <row r="923" spans="1:6" x14ac:dyDescent="0.25">
      <c r="A923" s="4" t="s">
        <v>256</v>
      </c>
      <c r="B923">
        <v>922</v>
      </c>
      <c r="C923" s="4" t="s">
        <v>7</v>
      </c>
      <c r="D923" s="5" t="s">
        <v>2932</v>
      </c>
      <c r="E923" s="4" t="s">
        <v>1449</v>
      </c>
      <c r="F923" s="4" t="s">
        <v>2062</v>
      </c>
    </row>
    <row r="924" spans="1:6" x14ac:dyDescent="0.25">
      <c r="A924" s="4" t="s">
        <v>256</v>
      </c>
      <c r="B924">
        <v>923</v>
      </c>
      <c r="C924" s="4" t="s">
        <v>8</v>
      </c>
      <c r="D924" s="5" t="s">
        <v>2926</v>
      </c>
      <c r="E924" s="4" t="s">
        <v>1439</v>
      </c>
      <c r="F924" s="4" t="s">
        <v>2055</v>
      </c>
    </row>
    <row r="925" spans="1:6" x14ac:dyDescent="0.25">
      <c r="A925" s="4" t="s">
        <v>256</v>
      </c>
      <c r="B925">
        <v>924</v>
      </c>
      <c r="C925" s="4" t="s">
        <v>9</v>
      </c>
      <c r="D925" s="5" t="s">
        <v>2933</v>
      </c>
      <c r="E925" s="4" t="s">
        <v>1450</v>
      </c>
      <c r="F925" s="4" t="s">
        <v>2063</v>
      </c>
    </row>
    <row r="926" spans="1:6" x14ac:dyDescent="0.25">
      <c r="A926" s="4" t="s">
        <v>256</v>
      </c>
      <c r="B926">
        <v>925</v>
      </c>
      <c r="C926" s="4" t="s">
        <v>199</v>
      </c>
      <c r="D926" s="5" t="s">
        <v>2934</v>
      </c>
      <c r="E926" s="4" t="s">
        <v>1451</v>
      </c>
      <c r="F926" s="4" t="s">
        <v>2064</v>
      </c>
    </row>
    <row r="927" spans="1:6" x14ac:dyDescent="0.25">
      <c r="A927" s="4" t="s">
        <v>256</v>
      </c>
      <c r="B927">
        <v>926</v>
      </c>
      <c r="C927" s="4" t="s">
        <v>200</v>
      </c>
      <c r="D927" s="5" t="s">
        <v>317</v>
      </c>
      <c r="E927" s="4" t="s">
        <v>1452</v>
      </c>
      <c r="F927" s="4" t="s">
        <v>2065</v>
      </c>
    </row>
    <row r="928" spans="1:6" x14ac:dyDescent="0.25">
      <c r="A928" s="4" t="s">
        <v>256</v>
      </c>
      <c r="B928">
        <v>927</v>
      </c>
      <c r="C928" s="4" t="s">
        <v>10</v>
      </c>
      <c r="D928" s="5" t="s">
        <v>2935</v>
      </c>
      <c r="E928" s="4" t="s">
        <v>1453</v>
      </c>
      <c r="F928" s="4" t="s">
        <v>2066</v>
      </c>
    </row>
    <row r="929" spans="1:6" x14ac:dyDescent="0.25">
      <c r="A929" s="4" t="s">
        <v>256</v>
      </c>
      <c r="B929">
        <v>928</v>
      </c>
      <c r="C929" s="4" t="s">
        <v>11</v>
      </c>
      <c r="D929" s="5" t="s">
        <v>2936</v>
      </c>
      <c r="E929" s="4" t="s">
        <v>1454</v>
      </c>
      <c r="F929" s="4" t="s">
        <v>2067</v>
      </c>
    </row>
    <row r="930" spans="1:6" x14ac:dyDescent="0.25">
      <c r="A930" s="4" t="s">
        <v>256</v>
      </c>
      <c r="B930">
        <v>929</v>
      </c>
      <c r="C930" s="4" t="s">
        <v>12</v>
      </c>
      <c r="D930" s="5" t="s">
        <v>2909</v>
      </c>
      <c r="E930" s="4" t="s">
        <v>1418</v>
      </c>
      <c r="F930" s="4" t="s">
        <v>2036</v>
      </c>
    </row>
    <row r="931" spans="1:6" x14ac:dyDescent="0.25">
      <c r="A931" s="4" t="s">
        <v>256</v>
      </c>
      <c r="B931">
        <v>930</v>
      </c>
      <c r="C931" s="4" t="s">
        <v>13</v>
      </c>
      <c r="D931" s="5" t="s">
        <v>2937</v>
      </c>
      <c r="E931" s="4" t="s">
        <v>2263</v>
      </c>
      <c r="F931" s="4" t="s">
        <v>2264</v>
      </c>
    </row>
    <row r="932" spans="1:6" x14ac:dyDescent="0.25">
      <c r="A932" s="4" t="s">
        <v>256</v>
      </c>
      <c r="B932">
        <v>931</v>
      </c>
      <c r="C932" s="4" t="s">
        <v>14</v>
      </c>
      <c r="D932" s="5" t="s">
        <v>2938</v>
      </c>
      <c r="E932" s="4" t="s">
        <v>1455</v>
      </c>
      <c r="F932" s="4" t="s">
        <v>2068</v>
      </c>
    </row>
    <row r="933" spans="1:6" x14ac:dyDescent="0.25">
      <c r="A933" s="4" t="s">
        <v>256</v>
      </c>
      <c r="B933">
        <v>932</v>
      </c>
      <c r="C933" s="4" t="s">
        <v>15</v>
      </c>
      <c r="D933" s="5" t="s">
        <v>2631</v>
      </c>
      <c r="E933" s="4" t="s">
        <v>1456</v>
      </c>
      <c r="F933" s="4" t="s">
        <v>2069</v>
      </c>
    </row>
    <row r="934" spans="1:6" x14ac:dyDescent="0.25">
      <c r="A934" s="4" t="s">
        <v>256</v>
      </c>
      <c r="B934">
        <v>933</v>
      </c>
      <c r="C934" s="4" t="s">
        <v>181</v>
      </c>
      <c r="D934" s="5" t="s">
        <v>2939</v>
      </c>
      <c r="E934" s="4" t="s">
        <v>1457</v>
      </c>
      <c r="F934" s="4" t="s">
        <v>2070</v>
      </c>
    </row>
    <row r="935" spans="1:6" x14ac:dyDescent="0.25">
      <c r="A935" s="4" t="s">
        <v>256</v>
      </c>
      <c r="B935">
        <v>934</v>
      </c>
      <c r="C935" s="4" t="s">
        <v>201</v>
      </c>
      <c r="D935" s="5" t="s">
        <v>2940</v>
      </c>
      <c r="E935" s="4" t="s">
        <v>1458</v>
      </c>
      <c r="F935" s="4" t="s">
        <v>2071</v>
      </c>
    </row>
    <row r="936" spans="1:6" x14ac:dyDescent="0.25">
      <c r="A936" s="4" t="s">
        <v>256</v>
      </c>
      <c r="B936">
        <v>935</v>
      </c>
      <c r="C936" s="4" t="s">
        <v>202</v>
      </c>
      <c r="D936" s="5" t="s">
        <v>2941</v>
      </c>
      <c r="E936" s="4" t="s">
        <v>1459</v>
      </c>
      <c r="F936" s="4" t="s">
        <v>2072</v>
      </c>
    </row>
    <row r="937" spans="1:6" x14ac:dyDescent="0.25">
      <c r="A937" s="4" t="s">
        <v>256</v>
      </c>
      <c r="B937">
        <v>936</v>
      </c>
      <c r="C937" s="4" t="s">
        <v>203</v>
      </c>
      <c r="D937" s="5" t="s">
        <v>2629</v>
      </c>
      <c r="E937" s="4" t="s">
        <v>1460</v>
      </c>
      <c r="F937" s="4" t="s">
        <v>2073</v>
      </c>
    </row>
    <row r="938" spans="1:6" x14ac:dyDescent="0.25">
      <c r="A938" s="4" t="s">
        <v>256</v>
      </c>
      <c r="B938">
        <v>937</v>
      </c>
      <c r="C938" s="4" t="s">
        <v>185</v>
      </c>
      <c r="D938" s="5" t="s">
        <v>2942</v>
      </c>
      <c r="E938" s="4" t="s">
        <v>2569</v>
      </c>
      <c r="F938" s="4" t="s">
        <v>2570</v>
      </c>
    </row>
    <row r="939" spans="1:6" x14ac:dyDescent="0.25">
      <c r="A939" s="4" t="s">
        <v>256</v>
      </c>
      <c r="B939">
        <v>938</v>
      </c>
      <c r="C939" s="4" t="s">
        <v>16</v>
      </c>
      <c r="D939" s="5" t="s">
        <v>2943</v>
      </c>
      <c r="E939" s="4" t="s">
        <v>1461</v>
      </c>
      <c r="F939" s="4" t="s">
        <v>2074</v>
      </c>
    </row>
    <row r="940" spans="1:6" x14ac:dyDescent="0.25">
      <c r="A940" s="4" t="s">
        <v>256</v>
      </c>
      <c r="B940">
        <v>939</v>
      </c>
      <c r="C940" s="4" t="s">
        <v>17</v>
      </c>
      <c r="D940" s="5" t="s">
        <v>2944</v>
      </c>
      <c r="E940" s="4" t="s">
        <v>1462</v>
      </c>
      <c r="F940" s="4" t="s">
        <v>2075</v>
      </c>
    </row>
    <row r="941" spans="1:6" x14ac:dyDescent="0.25">
      <c r="A941" s="4" t="s">
        <v>256</v>
      </c>
      <c r="B941">
        <v>940</v>
      </c>
      <c r="C941" s="4" t="s">
        <v>18</v>
      </c>
      <c r="D941" s="5" t="s">
        <v>2945</v>
      </c>
      <c r="E941" s="4" t="s">
        <v>1463</v>
      </c>
      <c r="F941" s="4" t="s">
        <v>2076</v>
      </c>
    </row>
    <row r="942" spans="1:6" x14ac:dyDescent="0.25">
      <c r="A942" s="4" t="s">
        <v>256</v>
      </c>
      <c r="B942">
        <v>941</v>
      </c>
      <c r="C942" s="4" t="s">
        <v>19</v>
      </c>
      <c r="D942" s="5" t="s">
        <v>2946</v>
      </c>
      <c r="E942" s="4" t="s">
        <v>1464</v>
      </c>
      <c r="F942" s="4" t="s">
        <v>2077</v>
      </c>
    </row>
    <row r="943" spans="1:6" x14ac:dyDescent="0.25">
      <c r="A943" s="4" t="s">
        <v>256</v>
      </c>
      <c r="B943">
        <v>942</v>
      </c>
      <c r="C943" s="4" t="s">
        <v>20</v>
      </c>
      <c r="D943" s="5" t="s">
        <v>2910</v>
      </c>
      <c r="E943" s="4" t="s">
        <v>1419</v>
      </c>
      <c r="F943" s="4" t="s">
        <v>2037</v>
      </c>
    </row>
    <row r="944" spans="1:6" x14ac:dyDescent="0.25">
      <c r="A944" s="4" t="s">
        <v>256</v>
      </c>
      <c r="B944">
        <v>943</v>
      </c>
      <c r="C944" s="4" t="s">
        <v>180</v>
      </c>
      <c r="D944" s="5" t="s">
        <v>2525</v>
      </c>
      <c r="E944" s="4" t="s">
        <v>1465</v>
      </c>
      <c r="F944" s="4" t="s">
        <v>2078</v>
      </c>
    </row>
    <row r="945" spans="1:6" x14ac:dyDescent="0.25">
      <c r="A945" s="4" t="s">
        <v>256</v>
      </c>
      <c r="B945">
        <v>944</v>
      </c>
      <c r="C945" s="4" t="s">
        <v>186</v>
      </c>
      <c r="D945" s="5" t="s">
        <v>2571</v>
      </c>
      <c r="E945" s="4" t="s">
        <v>1466</v>
      </c>
      <c r="F945" s="4" t="s">
        <v>2079</v>
      </c>
    </row>
    <row r="946" spans="1:6" x14ac:dyDescent="0.25">
      <c r="A946" s="4" t="s">
        <v>256</v>
      </c>
      <c r="B946">
        <v>945</v>
      </c>
      <c r="C946" s="4" t="s">
        <v>204</v>
      </c>
      <c r="D946" s="5" t="s">
        <v>2947</v>
      </c>
      <c r="E946" s="4" t="s">
        <v>1467</v>
      </c>
      <c r="F946" s="4" t="s">
        <v>2080</v>
      </c>
    </row>
    <row r="947" spans="1:6" x14ac:dyDescent="0.25">
      <c r="A947" s="4" t="s">
        <v>256</v>
      </c>
      <c r="B947">
        <v>946</v>
      </c>
      <c r="C947" s="4" t="s">
        <v>21</v>
      </c>
      <c r="D947" s="5" t="s">
        <v>2948</v>
      </c>
      <c r="E947" s="4" t="s">
        <v>1468</v>
      </c>
      <c r="F947" s="4" t="s">
        <v>2081</v>
      </c>
    </row>
    <row r="948" spans="1:6" x14ac:dyDescent="0.25">
      <c r="A948" s="4" t="s">
        <v>256</v>
      </c>
      <c r="B948">
        <v>947</v>
      </c>
      <c r="C948" s="4" t="s">
        <v>22</v>
      </c>
      <c r="D948" s="5" t="s">
        <v>2921</v>
      </c>
      <c r="E948" s="4" t="s">
        <v>1431</v>
      </c>
      <c r="F948" s="4" t="s">
        <v>2049</v>
      </c>
    </row>
    <row r="949" spans="1:6" x14ac:dyDescent="0.25">
      <c r="A949" s="4" t="s">
        <v>256</v>
      </c>
      <c r="B949">
        <v>948</v>
      </c>
      <c r="C949" s="4" t="s">
        <v>205</v>
      </c>
      <c r="D949" s="5" t="s">
        <v>2949</v>
      </c>
      <c r="E949" s="4" t="s">
        <v>1469</v>
      </c>
      <c r="F949" s="4" t="s">
        <v>2082</v>
      </c>
    </row>
    <row r="950" spans="1:6" x14ac:dyDescent="0.25">
      <c r="A950" s="4" t="s">
        <v>256</v>
      </c>
      <c r="B950">
        <v>949</v>
      </c>
      <c r="C950" s="4" t="s">
        <v>206</v>
      </c>
      <c r="D950" s="5" t="s">
        <v>2256</v>
      </c>
      <c r="E950" s="4" t="s">
        <v>1470</v>
      </c>
      <c r="F950" s="4" t="s">
        <v>2083</v>
      </c>
    </row>
    <row r="951" spans="1:6" x14ac:dyDescent="0.25">
      <c r="A951" s="4" t="s">
        <v>256</v>
      </c>
      <c r="B951">
        <v>950</v>
      </c>
      <c r="C951" s="4" t="s">
        <v>23</v>
      </c>
      <c r="D951" s="5" t="s">
        <v>2393</v>
      </c>
      <c r="E951" s="4" t="s">
        <v>1471</v>
      </c>
      <c r="F951" s="4" t="s">
        <v>2084</v>
      </c>
    </row>
    <row r="952" spans="1:6" x14ac:dyDescent="0.25">
      <c r="A952" s="4" t="s">
        <v>256</v>
      </c>
      <c r="B952">
        <v>951</v>
      </c>
      <c r="C952" s="4" t="s">
        <v>24</v>
      </c>
      <c r="D952" s="5" t="s">
        <v>2630</v>
      </c>
      <c r="E952" s="4" t="s">
        <v>1472</v>
      </c>
      <c r="F952" s="4" t="s">
        <v>2085</v>
      </c>
    </row>
    <row r="953" spans="1:6" x14ac:dyDescent="0.25">
      <c r="A953" s="4" t="s">
        <v>256</v>
      </c>
      <c r="B953">
        <v>952</v>
      </c>
      <c r="C953" s="4" t="s">
        <v>25</v>
      </c>
      <c r="D953" s="5" t="s">
        <v>2950</v>
      </c>
      <c r="E953" s="4" t="s">
        <v>1473</v>
      </c>
      <c r="F953" s="4" t="s">
        <v>2086</v>
      </c>
    </row>
    <row r="954" spans="1:6" x14ac:dyDescent="0.25">
      <c r="A954" s="4" t="s">
        <v>256</v>
      </c>
      <c r="B954">
        <v>953</v>
      </c>
      <c r="C954" s="4" t="s">
        <v>26</v>
      </c>
      <c r="D954" s="5" t="s">
        <v>2951</v>
      </c>
      <c r="E954" s="4" t="s">
        <v>1474</v>
      </c>
      <c r="F954" s="4" t="s">
        <v>2087</v>
      </c>
    </row>
    <row r="955" spans="1:6" x14ac:dyDescent="0.25">
      <c r="A955" s="4" t="s">
        <v>256</v>
      </c>
      <c r="B955">
        <v>954</v>
      </c>
      <c r="C955" s="4" t="s">
        <v>239</v>
      </c>
      <c r="D955" s="5" t="s">
        <v>2597</v>
      </c>
      <c r="E955" s="4" t="s">
        <v>1475</v>
      </c>
      <c r="F955" s="4" t="s">
        <v>2088</v>
      </c>
    </row>
    <row r="956" spans="1:6" x14ac:dyDescent="0.25">
      <c r="A956" s="4" t="s">
        <v>256</v>
      </c>
      <c r="B956">
        <v>955</v>
      </c>
      <c r="C956" s="4" t="s">
        <v>27</v>
      </c>
      <c r="D956" s="5" t="s">
        <v>2952</v>
      </c>
      <c r="E956" s="4" t="s">
        <v>1476</v>
      </c>
      <c r="F956" s="4" t="s">
        <v>2089</v>
      </c>
    </row>
    <row r="957" spans="1:6" x14ac:dyDescent="0.25">
      <c r="A957" s="4" t="s">
        <v>256</v>
      </c>
      <c r="B957">
        <v>956</v>
      </c>
      <c r="C957" s="4" t="s">
        <v>207</v>
      </c>
      <c r="D957" s="5" t="s">
        <v>302</v>
      </c>
      <c r="E957" s="4" t="s">
        <v>302</v>
      </c>
      <c r="F957" s="4" t="s">
        <v>302</v>
      </c>
    </row>
    <row r="958" spans="1:6" x14ac:dyDescent="0.25">
      <c r="A958" s="4" t="s">
        <v>256</v>
      </c>
      <c r="B958">
        <v>957</v>
      </c>
      <c r="C958" s="4" t="s">
        <v>28</v>
      </c>
      <c r="D958" s="5" t="s">
        <v>2953</v>
      </c>
      <c r="E958" s="4" t="s">
        <v>1477</v>
      </c>
      <c r="F958" s="4" t="s">
        <v>2090</v>
      </c>
    </row>
    <row r="959" spans="1:6" x14ac:dyDescent="0.25">
      <c r="A959" s="4" t="s">
        <v>256</v>
      </c>
      <c r="B959">
        <v>958</v>
      </c>
      <c r="C959" s="4" t="s">
        <v>29</v>
      </c>
      <c r="D959" s="5" t="s">
        <v>2954</v>
      </c>
      <c r="E959" s="4" t="s">
        <v>1478</v>
      </c>
      <c r="F959" s="4" t="s">
        <v>2091</v>
      </c>
    </row>
    <row r="960" spans="1:6" x14ac:dyDescent="0.25">
      <c r="A960" s="4" t="s">
        <v>256</v>
      </c>
      <c r="B960">
        <v>959</v>
      </c>
      <c r="C960" s="4" t="s">
        <v>30</v>
      </c>
      <c r="D960" s="5" t="s">
        <v>2955</v>
      </c>
      <c r="E960" s="4" t="s">
        <v>1479</v>
      </c>
      <c r="F960" s="4" t="s">
        <v>2092</v>
      </c>
    </row>
    <row r="961" spans="1:6" x14ac:dyDescent="0.25">
      <c r="A961" s="4" t="s">
        <v>256</v>
      </c>
      <c r="B961">
        <v>960</v>
      </c>
      <c r="C961" s="4" t="s">
        <v>31</v>
      </c>
      <c r="D961" s="5" t="s">
        <v>2956</v>
      </c>
      <c r="E961" s="4" t="s">
        <v>1480</v>
      </c>
      <c r="F961" s="4" t="s">
        <v>2093</v>
      </c>
    </row>
    <row r="962" spans="1:6" x14ac:dyDescent="0.25">
      <c r="A962" s="4" t="s">
        <v>256</v>
      </c>
      <c r="B962">
        <v>961</v>
      </c>
      <c r="C962" s="4" t="s">
        <v>32</v>
      </c>
      <c r="D962" s="5" t="s">
        <v>2957</v>
      </c>
      <c r="E962" s="4" t="s">
        <v>1481</v>
      </c>
      <c r="F962" s="4" t="s">
        <v>2094</v>
      </c>
    </row>
    <row r="963" spans="1:6" x14ac:dyDescent="0.25">
      <c r="A963" s="4" t="s">
        <v>256</v>
      </c>
      <c r="B963">
        <v>962</v>
      </c>
      <c r="C963" s="4" t="s">
        <v>240</v>
      </c>
      <c r="D963" s="5" t="s">
        <v>2958</v>
      </c>
      <c r="E963" s="4" t="s">
        <v>2598</v>
      </c>
      <c r="F963" s="4" t="s">
        <v>2598</v>
      </c>
    </row>
    <row r="964" spans="1:6" x14ac:dyDescent="0.25">
      <c r="A964" s="4" t="s">
        <v>256</v>
      </c>
      <c r="B964">
        <v>963</v>
      </c>
      <c r="C964" s="4" t="s">
        <v>208</v>
      </c>
      <c r="D964" s="5" t="s">
        <v>2959</v>
      </c>
      <c r="E964" s="4" t="s">
        <v>1482</v>
      </c>
      <c r="F964" s="4" t="s">
        <v>2095</v>
      </c>
    </row>
    <row r="965" spans="1:6" x14ac:dyDescent="0.25">
      <c r="A965" s="4" t="s">
        <v>256</v>
      </c>
      <c r="B965">
        <v>964</v>
      </c>
      <c r="C965" s="4" t="s">
        <v>33</v>
      </c>
      <c r="D965" s="5" t="s">
        <v>2960</v>
      </c>
      <c r="E965" s="4" t="s">
        <v>2271</v>
      </c>
      <c r="F965" s="4" t="s">
        <v>2272</v>
      </c>
    </row>
    <row r="966" spans="1:6" x14ac:dyDescent="0.25">
      <c r="A966" s="4" t="s">
        <v>256</v>
      </c>
      <c r="B966">
        <v>965</v>
      </c>
      <c r="C966" s="4" t="s">
        <v>34</v>
      </c>
      <c r="D966" s="5" t="s">
        <v>2961</v>
      </c>
      <c r="E966" s="4" t="s">
        <v>2289</v>
      </c>
      <c r="F966" s="4" t="s">
        <v>2290</v>
      </c>
    </row>
    <row r="967" spans="1:6" x14ac:dyDescent="0.25">
      <c r="A967" s="4" t="s">
        <v>256</v>
      </c>
      <c r="B967">
        <v>966</v>
      </c>
      <c r="C967" s="4" t="s">
        <v>192</v>
      </c>
      <c r="D967" s="5" t="s">
        <v>2962</v>
      </c>
      <c r="E967" s="4" t="s">
        <v>1483</v>
      </c>
      <c r="F967" s="4" t="s">
        <v>2096</v>
      </c>
    </row>
    <row r="968" spans="1:6" x14ac:dyDescent="0.25">
      <c r="A968" s="4" t="s">
        <v>256</v>
      </c>
      <c r="B968">
        <v>967</v>
      </c>
      <c r="C968" s="4" t="s">
        <v>241</v>
      </c>
      <c r="D968" s="5" t="s">
        <v>302</v>
      </c>
      <c r="E968" s="4" t="s">
        <v>302</v>
      </c>
      <c r="F968" s="4" t="s">
        <v>302</v>
      </c>
    </row>
    <row r="969" spans="1:6" x14ac:dyDescent="0.25">
      <c r="A969" s="4" t="s">
        <v>256</v>
      </c>
      <c r="B969">
        <v>968</v>
      </c>
      <c r="C969" s="4" t="s">
        <v>35</v>
      </c>
      <c r="D969" s="5" t="s">
        <v>302</v>
      </c>
      <c r="E969" s="4" t="s">
        <v>302</v>
      </c>
      <c r="F969" s="4" t="s">
        <v>302</v>
      </c>
    </row>
    <row r="970" spans="1:6" x14ac:dyDescent="0.25">
      <c r="A970" s="4" t="s">
        <v>256</v>
      </c>
      <c r="B970">
        <v>969</v>
      </c>
      <c r="C970" s="4" t="s">
        <v>36</v>
      </c>
      <c r="D970" s="5" t="s">
        <v>2963</v>
      </c>
      <c r="E970" s="4" t="s">
        <v>2964</v>
      </c>
      <c r="F970" s="4" t="s">
        <v>2964</v>
      </c>
    </row>
    <row r="971" spans="1:6" x14ac:dyDescent="0.25">
      <c r="A971" s="4" t="s">
        <v>256</v>
      </c>
      <c r="B971">
        <v>970</v>
      </c>
      <c r="C971" s="4" t="s">
        <v>37</v>
      </c>
      <c r="D971" s="5" t="s">
        <v>2965</v>
      </c>
      <c r="E971" s="4" t="s">
        <v>2599</v>
      </c>
      <c r="F971" s="4" t="s">
        <v>2599</v>
      </c>
    </row>
    <row r="972" spans="1:6" x14ac:dyDescent="0.25">
      <c r="A972" s="4" t="s">
        <v>256</v>
      </c>
      <c r="B972">
        <v>971</v>
      </c>
      <c r="C972" s="4" t="s">
        <v>38</v>
      </c>
      <c r="D972" s="5" t="s">
        <v>2577</v>
      </c>
      <c r="E972" s="4" t="s">
        <v>1484</v>
      </c>
      <c r="F972" s="4" t="s">
        <v>2097</v>
      </c>
    </row>
    <row r="973" spans="1:6" x14ac:dyDescent="0.25">
      <c r="A973" s="4" t="s">
        <v>256</v>
      </c>
      <c r="B973">
        <v>972</v>
      </c>
      <c r="C973" s="4" t="s">
        <v>209</v>
      </c>
      <c r="D973" s="5" t="s">
        <v>302</v>
      </c>
      <c r="E973" s="4" t="s">
        <v>302</v>
      </c>
      <c r="F973" s="4" t="s">
        <v>302</v>
      </c>
    </row>
    <row r="974" spans="1:6" x14ac:dyDescent="0.25">
      <c r="A974" s="4" t="s">
        <v>256</v>
      </c>
      <c r="B974">
        <v>973</v>
      </c>
      <c r="C974" s="4" t="s">
        <v>210</v>
      </c>
      <c r="D974" s="5" t="s">
        <v>1637</v>
      </c>
      <c r="E974" s="4" t="s">
        <v>2257</v>
      </c>
      <c r="F974" s="4" t="s">
        <v>2258</v>
      </c>
    </row>
    <row r="975" spans="1:6" x14ac:dyDescent="0.25">
      <c r="A975" s="4" t="s">
        <v>256</v>
      </c>
      <c r="B975">
        <v>974</v>
      </c>
      <c r="C975" s="4" t="s">
        <v>39</v>
      </c>
      <c r="D975" s="5" t="s">
        <v>2966</v>
      </c>
      <c r="E975" s="4" t="s">
        <v>1485</v>
      </c>
      <c r="F975" s="4" t="s">
        <v>2098</v>
      </c>
    </row>
    <row r="976" spans="1:6" x14ac:dyDescent="0.25">
      <c r="A976" s="4" t="s">
        <v>256</v>
      </c>
      <c r="B976">
        <v>975</v>
      </c>
      <c r="C976" s="4" t="s">
        <v>211</v>
      </c>
      <c r="D976" s="5" t="s">
        <v>2573</v>
      </c>
      <c r="E976" s="4" t="s">
        <v>1486</v>
      </c>
      <c r="F976" s="4" t="s">
        <v>2099</v>
      </c>
    </row>
    <row r="977" spans="1:6" x14ac:dyDescent="0.25">
      <c r="A977" s="4" t="s">
        <v>256</v>
      </c>
      <c r="B977">
        <v>976</v>
      </c>
      <c r="C977" s="4" t="s">
        <v>40</v>
      </c>
      <c r="D977" s="5" t="s">
        <v>2967</v>
      </c>
      <c r="E977" s="4" t="s">
        <v>1487</v>
      </c>
      <c r="F977" s="4" t="s">
        <v>2100</v>
      </c>
    </row>
    <row r="978" spans="1:6" x14ac:dyDescent="0.25">
      <c r="A978" s="4" t="s">
        <v>256</v>
      </c>
      <c r="B978">
        <v>977</v>
      </c>
      <c r="C978" s="4" t="s">
        <v>41</v>
      </c>
      <c r="D978" s="5" t="s">
        <v>2968</v>
      </c>
      <c r="E978" s="4" t="s">
        <v>1488</v>
      </c>
      <c r="F978" s="4" t="s">
        <v>1488</v>
      </c>
    </row>
    <row r="979" spans="1:6" x14ac:dyDescent="0.25">
      <c r="A979" s="4" t="s">
        <v>256</v>
      </c>
      <c r="B979">
        <v>978</v>
      </c>
      <c r="C979" s="4" t="s">
        <v>171</v>
      </c>
      <c r="D979" s="5" t="s">
        <v>2639</v>
      </c>
      <c r="E979" s="4" t="s">
        <v>1489</v>
      </c>
      <c r="F979" s="4" t="s">
        <v>2101</v>
      </c>
    </row>
    <row r="980" spans="1:6" x14ac:dyDescent="0.25">
      <c r="A980" s="4" t="s">
        <v>256</v>
      </c>
      <c r="B980">
        <v>979</v>
      </c>
      <c r="C980" s="4" t="s">
        <v>42</v>
      </c>
      <c r="D980" s="5" t="s">
        <v>2969</v>
      </c>
      <c r="E980" s="4" t="s">
        <v>1490</v>
      </c>
      <c r="F980" s="4" t="s">
        <v>2102</v>
      </c>
    </row>
    <row r="981" spans="1:6" x14ac:dyDescent="0.25">
      <c r="A981" s="4" t="s">
        <v>256</v>
      </c>
      <c r="B981">
        <v>980</v>
      </c>
      <c r="C981" s="4" t="s">
        <v>43</v>
      </c>
      <c r="D981" s="5" t="s">
        <v>2970</v>
      </c>
      <c r="E981" s="4" t="s">
        <v>1491</v>
      </c>
      <c r="F981" s="4" t="s">
        <v>2103</v>
      </c>
    </row>
    <row r="982" spans="1:6" x14ac:dyDescent="0.25">
      <c r="A982" s="4" t="s">
        <v>256</v>
      </c>
      <c r="B982">
        <v>981</v>
      </c>
      <c r="C982" s="4" t="s">
        <v>44</v>
      </c>
      <c r="D982" s="5" t="s">
        <v>2971</v>
      </c>
      <c r="E982" s="4" t="s">
        <v>1492</v>
      </c>
      <c r="F982" s="4" t="s">
        <v>2104</v>
      </c>
    </row>
    <row r="983" spans="1:6" x14ac:dyDescent="0.25">
      <c r="A983" s="4" t="s">
        <v>256</v>
      </c>
      <c r="B983">
        <v>982</v>
      </c>
      <c r="C983" s="4" t="s">
        <v>45</v>
      </c>
      <c r="D983" s="5" t="s">
        <v>2972</v>
      </c>
      <c r="E983" s="4" t="s">
        <v>1493</v>
      </c>
      <c r="F983" s="4" t="s">
        <v>2105</v>
      </c>
    </row>
    <row r="984" spans="1:6" x14ac:dyDescent="0.25">
      <c r="A984" s="4" t="s">
        <v>256</v>
      </c>
      <c r="B984">
        <v>983</v>
      </c>
      <c r="C984" s="4" t="s">
        <v>46</v>
      </c>
      <c r="D984" s="5" t="s">
        <v>2973</v>
      </c>
      <c r="E984" s="4" t="s">
        <v>2600</v>
      </c>
      <c r="F984" s="4" t="s">
        <v>2600</v>
      </c>
    </row>
    <row r="985" spans="1:6" x14ac:dyDescent="0.25">
      <c r="A985" s="4" t="s">
        <v>256</v>
      </c>
      <c r="B985">
        <v>984</v>
      </c>
      <c r="C985" s="4" t="s">
        <v>212</v>
      </c>
      <c r="D985" s="5" t="s">
        <v>1494</v>
      </c>
      <c r="E985" s="4" t="s">
        <v>1495</v>
      </c>
      <c r="F985" s="4" t="s">
        <v>2106</v>
      </c>
    </row>
    <row r="986" spans="1:6" x14ac:dyDescent="0.25">
      <c r="A986" s="4" t="s">
        <v>256</v>
      </c>
      <c r="B986">
        <v>985</v>
      </c>
      <c r="C986" s="4" t="s">
        <v>47</v>
      </c>
      <c r="D986" s="5" t="s">
        <v>2974</v>
      </c>
      <c r="E986" s="4" t="s">
        <v>1496</v>
      </c>
      <c r="F986" s="4" t="s">
        <v>2107</v>
      </c>
    </row>
    <row r="987" spans="1:6" x14ac:dyDescent="0.25">
      <c r="A987" s="4" t="s">
        <v>256</v>
      </c>
      <c r="B987">
        <v>986</v>
      </c>
      <c r="C987" s="4" t="s">
        <v>213</v>
      </c>
      <c r="D987" s="5" t="s">
        <v>2975</v>
      </c>
      <c r="E987" s="4" t="s">
        <v>1497</v>
      </c>
      <c r="F987" s="4" t="s">
        <v>2108</v>
      </c>
    </row>
    <row r="988" spans="1:6" x14ac:dyDescent="0.25">
      <c r="A988" s="4" t="s">
        <v>256</v>
      </c>
      <c r="B988">
        <v>987</v>
      </c>
      <c r="C988" s="4" t="s">
        <v>48</v>
      </c>
      <c r="D988" s="5" t="s">
        <v>2976</v>
      </c>
      <c r="E988" s="4" t="s">
        <v>1498</v>
      </c>
      <c r="F988" s="4" t="s">
        <v>2109</v>
      </c>
    </row>
    <row r="989" spans="1:6" x14ac:dyDescent="0.25">
      <c r="A989" s="4" t="s">
        <v>256</v>
      </c>
      <c r="B989">
        <v>988</v>
      </c>
      <c r="C989" s="4" t="s">
        <v>49</v>
      </c>
      <c r="D989" s="5" t="s">
        <v>2977</v>
      </c>
      <c r="E989" s="4" t="s">
        <v>1499</v>
      </c>
      <c r="F989" s="4" t="s">
        <v>2110</v>
      </c>
    </row>
    <row r="990" spans="1:6" x14ac:dyDescent="0.25">
      <c r="A990" s="4" t="s">
        <v>256</v>
      </c>
      <c r="B990">
        <v>989</v>
      </c>
      <c r="C990" s="4" t="s">
        <v>242</v>
      </c>
      <c r="D990" s="5" t="s">
        <v>2978</v>
      </c>
      <c r="E990" s="4" t="s">
        <v>1500</v>
      </c>
      <c r="F990" s="4" t="s">
        <v>2111</v>
      </c>
    </row>
    <row r="991" spans="1:6" x14ac:dyDescent="0.25">
      <c r="A991" s="4" t="s">
        <v>256</v>
      </c>
      <c r="B991">
        <v>990</v>
      </c>
      <c r="C991" s="4" t="s">
        <v>50</v>
      </c>
      <c r="D991" s="5" t="s">
        <v>2979</v>
      </c>
      <c r="E991" s="4" t="s">
        <v>1501</v>
      </c>
      <c r="F991" s="4" t="s">
        <v>2112</v>
      </c>
    </row>
    <row r="992" spans="1:6" x14ac:dyDescent="0.25">
      <c r="A992" s="4" t="s">
        <v>256</v>
      </c>
      <c r="B992">
        <v>991</v>
      </c>
      <c r="C992" s="4" t="s">
        <v>51</v>
      </c>
      <c r="D992" s="5" t="s">
        <v>2980</v>
      </c>
      <c r="E992" s="4" t="s">
        <v>1502</v>
      </c>
      <c r="F992" s="4" t="s">
        <v>2113</v>
      </c>
    </row>
    <row r="993" spans="1:6" x14ac:dyDescent="0.25">
      <c r="A993" s="4" t="s">
        <v>256</v>
      </c>
      <c r="B993">
        <v>992</v>
      </c>
      <c r="C993" s="4" t="s">
        <v>183</v>
      </c>
      <c r="D993" s="5" t="s">
        <v>2981</v>
      </c>
      <c r="E993" s="4" t="s">
        <v>1503</v>
      </c>
      <c r="F993" s="4" t="s">
        <v>2114</v>
      </c>
    </row>
    <row r="994" spans="1:6" x14ac:dyDescent="0.25">
      <c r="A994" s="4" t="s">
        <v>256</v>
      </c>
      <c r="B994">
        <v>993</v>
      </c>
      <c r="C994" s="4" t="s">
        <v>172</v>
      </c>
      <c r="D994" s="5" t="s">
        <v>2982</v>
      </c>
      <c r="E994" s="4" t="s">
        <v>1504</v>
      </c>
      <c r="F994" s="4" t="s">
        <v>2115</v>
      </c>
    </row>
    <row r="995" spans="1:6" x14ac:dyDescent="0.25">
      <c r="A995" s="4" t="s">
        <v>256</v>
      </c>
      <c r="B995">
        <v>994</v>
      </c>
      <c r="C995" s="4" t="s">
        <v>214</v>
      </c>
      <c r="D995" s="5" t="s">
        <v>2983</v>
      </c>
      <c r="E995" s="4" t="s">
        <v>1505</v>
      </c>
      <c r="F995" s="4" t="s">
        <v>2116</v>
      </c>
    </row>
    <row r="996" spans="1:6" x14ac:dyDescent="0.25">
      <c r="A996" s="4" t="s">
        <v>256</v>
      </c>
      <c r="B996">
        <v>995</v>
      </c>
      <c r="C996" s="4" t="s">
        <v>215</v>
      </c>
      <c r="D996" s="5" t="s">
        <v>1506</v>
      </c>
      <c r="E996" s="4" t="s">
        <v>2601</v>
      </c>
      <c r="F996" s="4" t="s">
        <v>2601</v>
      </c>
    </row>
    <row r="997" spans="1:6" x14ac:dyDescent="0.25">
      <c r="A997" s="4" t="s">
        <v>256</v>
      </c>
      <c r="B997">
        <v>996</v>
      </c>
      <c r="C997" s="4" t="s">
        <v>52</v>
      </c>
      <c r="D997" s="5" t="s">
        <v>2984</v>
      </c>
      <c r="E997" s="4" t="s">
        <v>1507</v>
      </c>
      <c r="F997" s="4" t="s">
        <v>2117</v>
      </c>
    </row>
    <row r="998" spans="1:6" x14ac:dyDescent="0.25">
      <c r="A998" s="4" t="s">
        <v>256</v>
      </c>
      <c r="B998">
        <v>997</v>
      </c>
      <c r="C998" s="4" t="s">
        <v>53</v>
      </c>
      <c r="D998" s="5" t="s">
        <v>2985</v>
      </c>
      <c r="E998" s="4" t="s">
        <v>1508</v>
      </c>
      <c r="F998" s="4" t="s">
        <v>2118</v>
      </c>
    </row>
    <row r="999" spans="1:6" x14ac:dyDescent="0.25">
      <c r="A999" s="4" t="s">
        <v>256</v>
      </c>
      <c r="B999">
        <v>998</v>
      </c>
      <c r="C999" s="4" t="s">
        <v>54</v>
      </c>
      <c r="D999" s="5" t="s">
        <v>2986</v>
      </c>
      <c r="E999" s="4" t="s">
        <v>1509</v>
      </c>
      <c r="F999" s="4" t="s">
        <v>2119</v>
      </c>
    </row>
    <row r="1000" spans="1:6" x14ac:dyDescent="0.25">
      <c r="A1000" s="4" t="s">
        <v>256</v>
      </c>
      <c r="B1000">
        <v>999</v>
      </c>
      <c r="C1000" s="4" t="s">
        <v>216</v>
      </c>
      <c r="D1000" s="5" t="s">
        <v>2987</v>
      </c>
      <c r="E1000" s="4" t="s">
        <v>1510</v>
      </c>
      <c r="F1000" s="4" t="s">
        <v>2120</v>
      </c>
    </row>
    <row r="1001" spans="1:6" x14ac:dyDescent="0.25">
      <c r="A1001" s="4" t="s">
        <v>256</v>
      </c>
      <c r="B1001">
        <v>1000</v>
      </c>
      <c r="C1001" s="4" t="s">
        <v>55</v>
      </c>
      <c r="D1001" s="5" t="s">
        <v>2924</v>
      </c>
      <c r="E1001" s="4" t="s">
        <v>1436</v>
      </c>
      <c r="F1001" s="4" t="s">
        <v>2053</v>
      </c>
    </row>
    <row r="1002" spans="1:6" x14ac:dyDescent="0.25">
      <c r="A1002" s="4" t="s">
        <v>256</v>
      </c>
      <c r="B1002">
        <v>1001</v>
      </c>
      <c r="C1002" s="4" t="s">
        <v>56</v>
      </c>
      <c r="D1002" s="5" t="s">
        <v>2988</v>
      </c>
      <c r="E1002" s="4" t="s">
        <v>1511</v>
      </c>
      <c r="F1002" s="4" t="s">
        <v>2121</v>
      </c>
    </row>
    <row r="1003" spans="1:6" x14ac:dyDescent="0.25">
      <c r="A1003" s="4" t="s">
        <v>256</v>
      </c>
      <c r="B1003">
        <v>1002</v>
      </c>
      <c r="C1003" s="4" t="s">
        <v>217</v>
      </c>
      <c r="D1003" s="5" t="s">
        <v>2634</v>
      </c>
      <c r="E1003" s="4" t="s">
        <v>1512</v>
      </c>
      <c r="F1003" s="4" t="s">
        <v>2122</v>
      </c>
    </row>
    <row r="1004" spans="1:6" x14ac:dyDescent="0.25">
      <c r="A1004" s="4" t="s">
        <v>256</v>
      </c>
      <c r="B1004">
        <v>1003</v>
      </c>
      <c r="C1004" s="4" t="s">
        <v>243</v>
      </c>
      <c r="D1004" s="5" t="s">
        <v>2989</v>
      </c>
      <c r="E1004" s="4" t="s">
        <v>1513</v>
      </c>
      <c r="F1004" s="4" t="s">
        <v>2123</v>
      </c>
    </row>
    <row r="1005" spans="1:6" x14ac:dyDescent="0.25">
      <c r="A1005" s="4" t="s">
        <v>256</v>
      </c>
      <c r="B1005">
        <v>1004</v>
      </c>
      <c r="C1005" s="4" t="s">
        <v>57</v>
      </c>
      <c r="D1005" s="5" t="s">
        <v>2922</v>
      </c>
      <c r="E1005" s="4" t="s">
        <v>1434</v>
      </c>
      <c r="F1005" s="4" t="s">
        <v>2051</v>
      </c>
    </row>
    <row r="1006" spans="1:6" x14ac:dyDescent="0.25">
      <c r="A1006" s="4" t="s">
        <v>256</v>
      </c>
      <c r="B1006">
        <v>1005</v>
      </c>
      <c r="C1006" s="4" t="s">
        <v>58</v>
      </c>
      <c r="D1006" s="5" t="s">
        <v>2911</v>
      </c>
      <c r="E1006" s="4" t="s">
        <v>1420</v>
      </c>
      <c r="F1006" s="4" t="s">
        <v>2038</v>
      </c>
    </row>
    <row r="1007" spans="1:6" x14ac:dyDescent="0.25">
      <c r="A1007" s="4" t="s">
        <v>256</v>
      </c>
      <c r="B1007">
        <v>1006</v>
      </c>
      <c r="C1007" s="4" t="s">
        <v>59</v>
      </c>
      <c r="D1007" s="5" t="s">
        <v>2990</v>
      </c>
      <c r="E1007" s="4" t="s">
        <v>1514</v>
      </c>
      <c r="F1007" s="4" t="s">
        <v>2124</v>
      </c>
    </row>
    <row r="1008" spans="1:6" x14ac:dyDescent="0.25">
      <c r="A1008" s="4" t="s">
        <v>256</v>
      </c>
      <c r="B1008">
        <v>1007</v>
      </c>
      <c r="C1008" s="4" t="s">
        <v>60</v>
      </c>
      <c r="D1008" s="5" t="s">
        <v>2991</v>
      </c>
      <c r="E1008" s="4" t="s">
        <v>1515</v>
      </c>
      <c r="F1008" s="4" t="s">
        <v>2125</v>
      </c>
    </row>
    <row r="1009" spans="1:6" x14ac:dyDescent="0.25">
      <c r="A1009" s="4" t="s">
        <v>256</v>
      </c>
      <c r="B1009">
        <v>1008</v>
      </c>
      <c r="C1009" s="4" t="s">
        <v>61</v>
      </c>
      <c r="D1009" s="5" t="s">
        <v>2992</v>
      </c>
      <c r="E1009" s="4" t="s">
        <v>1516</v>
      </c>
      <c r="F1009" s="4" t="s">
        <v>2126</v>
      </c>
    </row>
    <row r="1010" spans="1:6" x14ac:dyDescent="0.25">
      <c r="A1010" s="4" t="s">
        <v>256</v>
      </c>
      <c r="B1010">
        <v>1009</v>
      </c>
      <c r="C1010" s="4" t="s">
        <v>218</v>
      </c>
      <c r="D1010" s="5" t="s">
        <v>2993</v>
      </c>
      <c r="E1010" s="4" t="s">
        <v>1517</v>
      </c>
      <c r="F1010" s="4" t="s">
        <v>2127</v>
      </c>
    </row>
    <row r="1011" spans="1:6" x14ac:dyDescent="0.25">
      <c r="A1011" s="4" t="s">
        <v>256</v>
      </c>
      <c r="B1011">
        <v>1010</v>
      </c>
      <c r="C1011" s="4" t="s">
        <v>62</v>
      </c>
      <c r="D1011" s="5" t="s">
        <v>2912</v>
      </c>
      <c r="E1011" s="4" t="s">
        <v>1421</v>
      </c>
      <c r="F1011" s="4" t="s">
        <v>2039</v>
      </c>
    </row>
    <row r="1012" spans="1:6" x14ac:dyDescent="0.25">
      <c r="A1012" s="4" t="s">
        <v>256</v>
      </c>
      <c r="B1012">
        <v>1011</v>
      </c>
      <c r="C1012" s="4" t="s">
        <v>63</v>
      </c>
      <c r="D1012" s="5" t="s">
        <v>2994</v>
      </c>
      <c r="E1012" s="4" t="s">
        <v>1518</v>
      </c>
      <c r="F1012" s="4" t="s">
        <v>2128</v>
      </c>
    </row>
    <row r="1013" spans="1:6" x14ac:dyDescent="0.25">
      <c r="A1013" s="4" t="s">
        <v>256</v>
      </c>
      <c r="B1013">
        <v>1012</v>
      </c>
      <c r="C1013" s="4" t="s">
        <v>64</v>
      </c>
      <c r="D1013" s="5" t="s">
        <v>2913</v>
      </c>
      <c r="E1013" s="4" t="s">
        <v>1422</v>
      </c>
      <c r="F1013" s="4" t="s">
        <v>2040</v>
      </c>
    </row>
    <row r="1014" spans="1:6" x14ac:dyDescent="0.25">
      <c r="A1014" s="4" t="s">
        <v>256</v>
      </c>
      <c r="B1014">
        <v>1013</v>
      </c>
      <c r="C1014" s="4" t="s">
        <v>65</v>
      </c>
      <c r="D1014" s="5" t="s">
        <v>2914</v>
      </c>
      <c r="E1014" s="4" t="s">
        <v>1423</v>
      </c>
      <c r="F1014" s="4" t="s">
        <v>2041</v>
      </c>
    </row>
    <row r="1015" spans="1:6" x14ac:dyDescent="0.25">
      <c r="A1015" s="4" t="s">
        <v>256</v>
      </c>
      <c r="B1015">
        <v>1014</v>
      </c>
      <c r="C1015" s="4" t="s">
        <v>66</v>
      </c>
      <c r="D1015" s="5" t="s">
        <v>2995</v>
      </c>
      <c r="E1015" s="4" t="s">
        <v>1519</v>
      </c>
      <c r="F1015" s="4" t="s">
        <v>2129</v>
      </c>
    </row>
    <row r="1016" spans="1:6" x14ac:dyDescent="0.25">
      <c r="A1016" s="4" t="s">
        <v>256</v>
      </c>
      <c r="B1016">
        <v>1015</v>
      </c>
      <c r="C1016" s="4" t="s">
        <v>173</v>
      </c>
      <c r="D1016" s="5" t="s">
        <v>2996</v>
      </c>
      <c r="E1016" s="4" t="s">
        <v>1520</v>
      </c>
      <c r="F1016" s="4" t="s">
        <v>2130</v>
      </c>
    </row>
    <row r="1017" spans="1:6" x14ac:dyDescent="0.25">
      <c r="A1017" s="4" t="s">
        <v>256</v>
      </c>
      <c r="B1017">
        <v>1016</v>
      </c>
      <c r="C1017" s="4" t="s">
        <v>67</v>
      </c>
      <c r="D1017" s="5" t="s">
        <v>2997</v>
      </c>
      <c r="E1017" s="4" t="s">
        <v>1521</v>
      </c>
      <c r="F1017" s="4" t="s">
        <v>2131</v>
      </c>
    </row>
    <row r="1018" spans="1:6" x14ac:dyDescent="0.25">
      <c r="A1018" s="4" t="s">
        <v>256</v>
      </c>
      <c r="B1018">
        <v>1017</v>
      </c>
      <c r="C1018" s="4" t="s">
        <v>244</v>
      </c>
      <c r="D1018" s="5" t="s">
        <v>2998</v>
      </c>
      <c r="E1018" s="4" t="s">
        <v>1522</v>
      </c>
      <c r="F1018" s="4" t="s">
        <v>1522</v>
      </c>
    </row>
    <row r="1019" spans="1:6" x14ac:dyDescent="0.25">
      <c r="A1019" s="4" t="s">
        <v>256</v>
      </c>
      <c r="B1019">
        <v>1018</v>
      </c>
      <c r="C1019" s="4" t="s">
        <v>184</v>
      </c>
      <c r="D1019" s="5" t="s">
        <v>2999</v>
      </c>
      <c r="E1019" s="4" t="s">
        <v>1523</v>
      </c>
      <c r="F1019" s="4" t="s">
        <v>2132</v>
      </c>
    </row>
    <row r="1020" spans="1:6" x14ac:dyDescent="0.25">
      <c r="A1020" s="4" t="s">
        <v>256</v>
      </c>
      <c r="B1020">
        <v>1019</v>
      </c>
      <c r="C1020" s="4" t="s">
        <v>191</v>
      </c>
      <c r="D1020" s="5" t="s">
        <v>3000</v>
      </c>
      <c r="E1020" s="4" t="s">
        <v>1650</v>
      </c>
      <c r="F1020" s="4" t="s">
        <v>2133</v>
      </c>
    </row>
    <row r="1021" spans="1:6" x14ac:dyDescent="0.25">
      <c r="A1021" s="4" t="s">
        <v>256</v>
      </c>
      <c r="B1021">
        <v>1020</v>
      </c>
      <c r="C1021" s="4" t="s">
        <v>193</v>
      </c>
      <c r="D1021" s="5" t="s">
        <v>3001</v>
      </c>
      <c r="E1021" s="4" t="s">
        <v>1524</v>
      </c>
      <c r="F1021" s="4" t="s">
        <v>2134</v>
      </c>
    </row>
    <row r="1022" spans="1:6" x14ac:dyDescent="0.25">
      <c r="A1022" s="4" t="s">
        <v>256</v>
      </c>
      <c r="B1022">
        <v>1021</v>
      </c>
      <c r="C1022" s="4" t="s">
        <v>68</v>
      </c>
      <c r="D1022" s="5" t="s">
        <v>3002</v>
      </c>
      <c r="E1022" s="4" t="s">
        <v>1525</v>
      </c>
      <c r="F1022" s="4" t="s">
        <v>2135</v>
      </c>
    </row>
    <row r="1023" spans="1:6" x14ac:dyDescent="0.25">
      <c r="A1023" s="4" t="s">
        <v>256</v>
      </c>
      <c r="B1023">
        <v>1022</v>
      </c>
      <c r="C1023" s="4" t="s">
        <v>194</v>
      </c>
      <c r="D1023" s="5" t="s">
        <v>3003</v>
      </c>
      <c r="E1023" s="4" t="s">
        <v>1526</v>
      </c>
      <c r="F1023" s="4" t="s">
        <v>2136</v>
      </c>
    </row>
    <row r="1024" spans="1:6" x14ac:dyDescent="0.25">
      <c r="A1024" s="4" t="s">
        <v>256</v>
      </c>
      <c r="B1024">
        <v>1023</v>
      </c>
      <c r="C1024" s="4" t="s">
        <v>69</v>
      </c>
      <c r="D1024" s="5" t="s">
        <v>3004</v>
      </c>
      <c r="E1024" s="4" t="s">
        <v>1527</v>
      </c>
      <c r="F1024" s="4" t="s">
        <v>2137</v>
      </c>
    </row>
    <row r="1025" spans="1:6" x14ac:dyDescent="0.25">
      <c r="A1025" s="4" t="s">
        <v>256</v>
      </c>
      <c r="B1025">
        <v>1024</v>
      </c>
      <c r="C1025" s="4" t="s">
        <v>70</v>
      </c>
      <c r="D1025" s="5" t="s">
        <v>3005</v>
      </c>
      <c r="E1025" s="4" t="s">
        <v>1528</v>
      </c>
      <c r="F1025" s="4" t="s">
        <v>2138</v>
      </c>
    </row>
    <row r="1026" spans="1:6" x14ac:dyDescent="0.25">
      <c r="A1026" s="4" t="s">
        <v>256</v>
      </c>
      <c r="B1026">
        <v>1025</v>
      </c>
      <c r="C1026" s="4" t="s">
        <v>71</v>
      </c>
      <c r="D1026" s="5" t="s">
        <v>2394</v>
      </c>
      <c r="E1026" s="4" t="s">
        <v>2602</v>
      </c>
      <c r="F1026" s="4" t="s">
        <v>2602</v>
      </c>
    </row>
    <row r="1027" spans="1:6" x14ac:dyDescent="0.25">
      <c r="A1027" s="4" t="s">
        <v>256</v>
      </c>
      <c r="B1027">
        <v>1026</v>
      </c>
      <c r="C1027" s="4" t="s">
        <v>219</v>
      </c>
      <c r="D1027" s="5" t="s">
        <v>302</v>
      </c>
      <c r="E1027" s="4" t="s">
        <v>302</v>
      </c>
      <c r="F1027" s="4" t="s">
        <v>302</v>
      </c>
    </row>
    <row r="1028" spans="1:6" x14ac:dyDescent="0.25">
      <c r="A1028" s="4" t="s">
        <v>256</v>
      </c>
      <c r="B1028">
        <v>1027</v>
      </c>
      <c r="C1028" s="4" t="s">
        <v>177</v>
      </c>
      <c r="D1028" s="5" t="s">
        <v>302</v>
      </c>
      <c r="E1028" s="4" t="s">
        <v>302</v>
      </c>
      <c r="F1028" s="4" t="s">
        <v>302</v>
      </c>
    </row>
    <row r="1029" spans="1:6" x14ac:dyDescent="0.25">
      <c r="A1029" s="4" t="s">
        <v>256</v>
      </c>
      <c r="B1029">
        <v>1028</v>
      </c>
      <c r="C1029" s="4" t="s">
        <v>72</v>
      </c>
      <c r="D1029" s="5" t="s">
        <v>2923</v>
      </c>
      <c r="E1029" s="4" t="s">
        <v>1435</v>
      </c>
      <c r="F1029" s="4" t="s">
        <v>2052</v>
      </c>
    </row>
    <row r="1030" spans="1:6" x14ac:dyDescent="0.25">
      <c r="A1030" s="4" t="s">
        <v>256</v>
      </c>
      <c r="B1030">
        <v>1029</v>
      </c>
      <c r="C1030" s="4" t="s">
        <v>220</v>
      </c>
      <c r="D1030" s="5" t="s">
        <v>3006</v>
      </c>
      <c r="E1030" s="4" t="s">
        <v>1529</v>
      </c>
      <c r="F1030" s="4" t="s">
        <v>2139</v>
      </c>
    </row>
    <row r="1031" spans="1:6" x14ac:dyDescent="0.25">
      <c r="A1031" s="4" t="s">
        <v>256</v>
      </c>
      <c r="B1031">
        <v>1030</v>
      </c>
      <c r="C1031" s="4" t="s">
        <v>73</v>
      </c>
      <c r="D1031" s="5" t="s">
        <v>3007</v>
      </c>
      <c r="E1031" s="4" t="s">
        <v>2395</v>
      </c>
      <c r="F1031" s="4" t="s">
        <v>2396</v>
      </c>
    </row>
    <row r="1032" spans="1:6" x14ac:dyDescent="0.25">
      <c r="A1032" s="4" t="s">
        <v>256</v>
      </c>
      <c r="B1032">
        <v>1031</v>
      </c>
      <c r="C1032" s="4" t="s">
        <v>74</v>
      </c>
      <c r="D1032" s="5" t="s">
        <v>3008</v>
      </c>
      <c r="E1032" s="4" t="s">
        <v>1530</v>
      </c>
      <c r="F1032" s="4" t="s">
        <v>2140</v>
      </c>
    </row>
    <row r="1033" spans="1:6" x14ac:dyDescent="0.25">
      <c r="A1033" s="4" t="s">
        <v>256</v>
      </c>
      <c r="B1033">
        <v>1032</v>
      </c>
      <c r="C1033" s="4" t="s">
        <v>75</v>
      </c>
      <c r="D1033" s="5" t="s">
        <v>3009</v>
      </c>
      <c r="E1033" s="4" t="s">
        <v>1531</v>
      </c>
      <c r="F1033" s="4" t="s">
        <v>2141</v>
      </c>
    </row>
    <row r="1034" spans="1:6" x14ac:dyDescent="0.25">
      <c r="A1034" s="4" t="s">
        <v>256</v>
      </c>
      <c r="B1034">
        <v>1033</v>
      </c>
      <c r="C1034" s="4" t="s">
        <v>76</v>
      </c>
      <c r="D1034" s="5" t="s">
        <v>3010</v>
      </c>
      <c r="E1034" s="4" t="s">
        <v>1532</v>
      </c>
      <c r="F1034" s="4" t="s">
        <v>2142</v>
      </c>
    </row>
    <row r="1035" spans="1:6" x14ac:dyDescent="0.25">
      <c r="A1035" s="4" t="s">
        <v>256</v>
      </c>
      <c r="B1035">
        <v>1034</v>
      </c>
      <c r="C1035" s="4" t="s">
        <v>245</v>
      </c>
      <c r="D1035" s="5" t="s">
        <v>3011</v>
      </c>
      <c r="E1035" s="4" t="s">
        <v>1533</v>
      </c>
      <c r="F1035" s="4" t="s">
        <v>2143</v>
      </c>
    </row>
    <row r="1036" spans="1:6" x14ac:dyDescent="0.25">
      <c r="A1036" s="4" t="s">
        <v>256</v>
      </c>
      <c r="B1036">
        <v>1035</v>
      </c>
      <c r="C1036" s="4" t="s">
        <v>195</v>
      </c>
      <c r="D1036" s="5" t="s">
        <v>3012</v>
      </c>
      <c r="E1036" s="4" t="s">
        <v>1534</v>
      </c>
      <c r="F1036" s="4" t="s">
        <v>2144</v>
      </c>
    </row>
    <row r="1037" spans="1:6" x14ac:dyDescent="0.25">
      <c r="A1037" s="4" t="s">
        <v>256</v>
      </c>
      <c r="B1037">
        <v>1036</v>
      </c>
      <c r="C1037" s="4" t="s">
        <v>77</v>
      </c>
      <c r="D1037" s="5" t="s">
        <v>3013</v>
      </c>
      <c r="E1037" s="4" t="s">
        <v>1535</v>
      </c>
      <c r="F1037" s="4" t="s">
        <v>2145</v>
      </c>
    </row>
    <row r="1038" spans="1:6" x14ac:dyDescent="0.25">
      <c r="A1038" s="4" t="s">
        <v>256</v>
      </c>
      <c r="B1038">
        <v>1037</v>
      </c>
      <c r="C1038" s="4" t="s">
        <v>78</v>
      </c>
      <c r="D1038" s="5" t="s">
        <v>3014</v>
      </c>
      <c r="E1038" s="4" t="s">
        <v>1536</v>
      </c>
      <c r="F1038" s="4" t="s">
        <v>2146</v>
      </c>
    </row>
    <row r="1039" spans="1:6" x14ac:dyDescent="0.25">
      <c r="A1039" s="4" t="s">
        <v>256</v>
      </c>
      <c r="B1039">
        <v>1038</v>
      </c>
      <c r="C1039" s="4" t="s">
        <v>79</v>
      </c>
      <c r="D1039" s="5" t="s">
        <v>3015</v>
      </c>
      <c r="E1039" s="4" t="s">
        <v>1537</v>
      </c>
      <c r="F1039" s="4" t="s">
        <v>2147</v>
      </c>
    </row>
    <row r="1040" spans="1:6" x14ac:dyDescent="0.25">
      <c r="A1040" s="4" t="s">
        <v>256</v>
      </c>
      <c r="B1040">
        <v>1039</v>
      </c>
      <c r="C1040" s="4" t="s">
        <v>246</v>
      </c>
      <c r="D1040" s="5" t="s">
        <v>2576</v>
      </c>
      <c r="E1040" s="4" t="s">
        <v>1538</v>
      </c>
      <c r="F1040" s="4" t="s">
        <v>2148</v>
      </c>
    </row>
    <row r="1041" spans="1:6" x14ac:dyDescent="0.25">
      <c r="A1041" s="4" t="s">
        <v>256</v>
      </c>
      <c r="B1041">
        <v>1040</v>
      </c>
      <c r="C1041" s="4" t="s">
        <v>80</v>
      </c>
      <c r="D1041" s="5" t="s">
        <v>2915</v>
      </c>
      <c r="E1041" s="4" t="s">
        <v>1424</v>
      </c>
      <c r="F1041" s="4" t="s">
        <v>2042</v>
      </c>
    </row>
    <row r="1042" spans="1:6" x14ac:dyDescent="0.25">
      <c r="A1042" s="4" t="s">
        <v>256</v>
      </c>
      <c r="B1042">
        <v>1041</v>
      </c>
      <c r="C1042" s="4" t="s">
        <v>187</v>
      </c>
      <c r="D1042" s="5" t="s">
        <v>3016</v>
      </c>
      <c r="E1042" s="4" t="s">
        <v>1539</v>
      </c>
      <c r="F1042" s="4" t="s">
        <v>2149</v>
      </c>
    </row>
    <row r="1043" spans="1:6" x14ac:dyDescent="0.25">
      <c r="A1043" s="4" t="s">
        <v>256</v>
      </c>
      <c r="B1043">
        <v>1042</v>
      </c>
      <c r="C1043" s="4" t="s">
        <v>81</v>
      </c>
      <c r="D1043" s="5" t="s">
        <v>3017</v>
      </c>
      <c r="E1043" s="4" t="s">
        <v>1540</v>
      </c>
      <c r="F1043" s="4" t="s">
        <v>2150</v>
      </c>
    </row>
    <row r="1044" spans="1:6" x14ac:dyDescent="0.25">
      <c r="A1044" s="4" t="s">
        <v>256</v>
      </c>
      <c r="B1044">
        <v>1043</v>
      </c>
      <c r="C1044" s="4" t="s">
        <v>247</v>
      </c>
      <c r="D1044" s="5" t="s">
        <v>3018</v>
      </c>
      <c r="E1044" s="4" t="s">
        <v>2249</v>
      </c>
      <c r="F1044" s="4" t="s">
        <v>2250</v>
      </c>
    </row>
    <row r="1045" spans="1:6" x14ac:dyDescent="0.25">
      <c r="A1045" s="4" t="s">
        <v>256</v>
      </c>
      <c r="B1045">
        <v>1044</v>
      </c>
      <c r="C1045" s="4" t="s">
        <v>82</v>
      </c>
      <c r="D1045" s="5" t="s">
        <v>3019</v>
      </c>
      <c r="E1045" s="4" t="s">
        <v>1541</v>
      </c>
      <c r="F1045" s="4" t="s">
        <v>2151</v>
      </c>
    </row>
    <row r="1046" spans="1:6" x14ac:dyDescent="0.25">
      <c r="A1046" s="4" t="s">
        <v>256</v>
      </c>
      <c r="B1046">
        <v>1045</v>
      </c>
      <c r="C1046" s="4" t="s">
        <v>83</v>
      </c>
      <c r="D1046" s="5" t="s">
        <v>3020</v>
      </c>
      <c r="E1046" s="4" t="s">
        <v>1542</v>
      </c>
      <c r="F1046" s="4" t="s">
        <v>2152</v>
      </c>
    </row>
    <row r="1047" spans="1:6" x14ac:dyDescent="0.25">
      <c r="A1047" s="4" t="s">
        <v>256</v>
      </c>
      <c r="B1047">
        <v>1046</v>
      </c>
      <c r="C1047" s="4" t="s">
        <v>84</v>
      </c>
      <c r="D1047" s="5" t="s">
        <v>2916</v>
      </c>
      <c r="E1047" s="4" t="s">
        <v>1425</v>
      </c>
      <c r="F1047" s="4" t="s">
        <v>2043</v>
      </c>
    </row>
    <row r="1048" spans="1:6" x14ac:dyDescent="0.25">
      <c r="A1048" s="4" t="s">
        <v>256</v>
      </c>
      <c r="B1048">
        <v>1047</v>
      </c>
      <c r="C1048" s="4" t="s">
        <v>85</v>
      </c>
      <c r="D1048" s="5" t="s">
        <v>3021</v>
      </c>
      <c r="E1048" s="4" t="s">
        <v>1543</v>
      </c>
      <c r="F1048" s="4" t="s">
        <v>2153</v>
      </c>
    </row>
    <row r="1049" spans="1:6" x14ac:dyDescent="0.25">
      <c r="A1049" s="4" t="s">
        <v>256</v>
      </c>
      <c r="B1049">
        <v>1048</v>
      </c>
      <c r="C1049" s="4" t="s">
        <v>86</v>
      </c>
      <c r="D1049" s="5" t="s">
        <v>3022</v>
      </c>
      <c r="E1049" s="4" t="s">
        <v>1544</v>
      </c>
      <c r="F1049" s="4" t="s">
        <v>2154</v>
      </c>
    </row>
    <row r="1050" spans="1:6" x14ac:dyDescent="0.25">
      <c r="A1050" s="4" t="s">
        <v>256</v>
      </c>
      <c r="B1050">
        <v>1049</v>
      </c>
      <c r="C1050" s="4" t="s">
        <v>87</v>
      </c>
      <c r="D1050" s="5" t="s">
        <v>3023</v>
      </c>
      <c r="E1050" s="4" t="s">
        <v>1545</v>
      </c>
      <c r="F1050" s="4" t="s">
        <v>2155</v>
      </c>
    </row>
    <row r="1051" spans="1:6" x14ac:dyDescent="0.25">
      <c r="A1051" s="4" t="s">
        <v>256</v>
      </c>
      <c r="B1051">
        <v>1050</v>
      </c>
      <c r="C1051" s="4" t="s">
        <v>88</v>
      </c>
      <c r="D1051" s="5" t="s">
        <v>3024</v>
      </c>
      <c r="E1051" s="4" t="s">
        <v>1546</v>
      </c>
      <c r="F1051" s="4" t="s">
        <v>2156</v>
      </c>
    </row>
    <row r="1052" spans="1:6" x14ac:dyDescent="0.25">
      <c r="A1052" s="4" t="s">
        <v>256</v>
      </c>
      <c r="B1052">
        <v>1051</v>
      </c>
      <c r="C1052" s="4" t="s">
        <v>221</v>
      </c>
      <c r="D1052" s="5" t="s">
        <v>3025</v>
      </c>
      <c r="E1052" s="4" t="s">
        <v>1547</v>
      </c>
      <c r="F1052" s="4" t="s">
        <v>2157</v>
      </c>
    </row>
    <row r="1053" spans="1:6" x14ac:dyDescent="0.25">
      <c r="A1053" s="4" t="s">
        <v>256</v>
      </c>
      <c r="B1053">
        <v>1052</v>
      </c>
      <c r="C1053" s="4" t="s">
        <v>89</v>
      </c>
      <c r="D1053" s="5" t="s">
        <v>3026</v>
      </c>
      <c r="E1053" s="4" t="s">
        <v>1548</v>
      </c>
      <c r="F1053" s="4" t="s">
        <v>2158</v>
      </c>
    </row>
    <row r="1054" spans="1:6" x14ac:dyDescent="0.25">
      <c r="A1054" s="4" t="s">
        <v>256</v>
      </c>
      <c r="B1054">
        <v>1053</v>
      </c>
      <c r="C1054" s="4" t="s">
        <v>90</v>
      </c>
      <c r="D1054" s="5" t="s">
        <v>2975</v>
      </c>
      <c r="E1054" s="4" t="s">
        <v>1549</v>
      </c>
      <c r="F1054" s="4" t="s">
        <v>2159</v>
      </c>
    </row>
    <row r="1055" spans="1:6" x14ac:dyDescent="0.25">
      <c r="A1055" s="4" t="s">
        <v>256</v>
      </c>
      <c r="B1055">
        <v>1054</v>
      </c>
      <c r="C1055" s="4" t="s">
        <v>179</v>
      </c>
      <c r="D1055" s="5" t="s">
        <v>3027</v>
      </c>
      <c r="E1055" s="4" t="s">
        <v>1550</v>
      </c>
      <c r="F1055" s="4" t="s">
        <v>2160</v>
      </c>
    </row>
    <row r="1056" spans="1:6" x14ac:dyDescent="0.25">
      <c r="A1056" s="4" t="s">
        <v>256</v>
      </c>
      <c r="B1056">
        <v>1055</v>
      </c>
      <c r="C1056" s="4" t="s">
        <v>91</v>
      </c>
      <c r="D1056" s="5" t="s">
        <v>3028</v>
      </c>
      <c r="E1056" s="4" t="s">
        <v>1551</v>
      </c>
      <c r="F1056" s="4" t="s">
        <v>2161</v>
      </c>
    </row>
    <row r="1057" spans="1:6" x14ac:dyDescent="0.25">
      <c r="A1057" s="4" t="s">
        <v>256</v>
      </c>
      <c r="B1057">
        <v>1056</v>
      </c>
      <c r="C1057" s="4" t="s">
        <v>92</v>
      </c>
      <c r="D1057" s="5" t="s">
        <v>3029</v>
      </c>
      <c r="E1057" s="4" t="s">
        <v>1552</v>
      </c>
      <c r="F1057" s="4" t="s">
        <v>2162</v>
      </c>
    </row>
    <row r="1058" spans="1:6" x14ac:dyDescent="0.25">
      <c r="A1058" s="4" t="s">
        <v>256</v>
      </c>
      <c r="B1058">
        <v>1057</v>
      </c>
      <c r="C1058" s="4" t="s">
        <v>222</v>
      </c>
      <c r="D1058" s="5" t="s">
        <v>3030</v>
      </c>
      <c r="E1058" s="4" t="s">
        <v>2304</v>
      </c>
      <c r="F1058" s="4" t="s">
        <v>2305</v>
      </c>
    </row>
    <row r="1059" spans="1:6" x14ac:dyDescent="0.25">
      <c r="A1059" s="4" t="s">
        <v>256</v>
      </c>
      <c r="B1059">
        <v>1058</v>
      </c>
      <c r="C1059" s="4" t="s">
        <v>93</v>
      </c>
      <c r="D1059" s="5" t="s">
        <v>3031</v>
      </c>
      <c r="E1059" s="4" t="s">
        <v>1553</v>
      </c>
      <c r="F1059" s="4" t="s">
        <v>2163</v>
      </c>
    </row>
    <row r="1060" spans="1:6" x14ac:dyDescent="0.25">
      <c r="A1060" s="4" t="s">
        <v>256</v>
      </c>
      <c r="B1060">
        <v>1059</v>
      </c>
      <c r="C1060" s="4" t="s">
        <v>94</v>
      </c>
      <c r="D1060" s="5" t="s">
        <v>2917</v>
      </c>
      <c r="E1060" s="4" t="s">
        <v>1426</v>
      </c>
      <c r="F1060" s="4" t="s">
        <v>2044</v>
      </c>
    </row>
    <row r="1061" spans="1:6" x14ac:dyDescent="0.25">
      <c r="A1061" s="4" t="s">
        <v>256</v>
      </c>
      <c r="B1061">
        <v>1060</v>
      </c>
      <c r="C1061" s="4" t="s">
        <v>223</v>
      </c>
      <c r="D1061" s="5" t="s">
        <v>3032</v>
      </c>
      <c r="E1061" s="4" t="s">
        <v>1554</v>
      </c>
      <c r="F1061" s="4" t="s">
        <v>2164</v>
      </c>
    </row>
    <row r="1062" spans="1:6" x14ac:dyDescent="0.25">
      <c r="A1062" s="4" t="s">
        <v>256</v>
      </c>
      <c r="B1062">
        <v>1061</v>
      </c>
      <c r="C1062" s="4" t="s">
        <v>95</v>
      </c>
      <c r="D1062" s="5" t="s">
        <v>3033</v>
      </c>
      <c r="E1062" s="4" t="s">
        <v>1555</v>
      </c>
      <c r="F1062" s="4" t="s">
        <v>2165</v>
      </c>
    </row>
    <row r="1063" spans="1:6" x14ac:dyDescent="0.25">
      <c r="A1063" s="4" t="s">
        <v>256</v>
      </c>
      <c r="B1063">
        <v>1062</v>
      </c>
      <c r="C1063" s="4" t="s">
        <v>96</v>
      </c>
      <c r="D1063" s="5" t="s">
        <v>3034</v>
      </c>
      <c r="E1063" s="4" t="s">
        <v>1556</v>
      </c>
      <c r="F1063" s="4" t="s">
        <v>2166</v>
      </c>
    </row>
    <row r="1064" spans="1:6" x14ac:dyDescent="0.25">
      <c r="A1064" s="4" t="s">
        <v>256</v>
      </c>
      <c r="B1064">
        <v>1063</v>
      </c>
      <c r="C1064" s="4" t="s">
        <v>97</v>
      </c>
      <c r="D1064" s="5" t="s">
        <v>3035</v>
      </c>
      <c r="E1064" s="4" t="s">
        <v>1557</v>
      </c>
      <c r="F1064" s="4" t="s">
        <v>2167</v>
      </c>
    </row>
    <row r="1065" spans="1:6" x14ac:dyDescent="0.25">
      <c r="A1065" s="4" t="s">
        <v>256</v>
      </c>
      <c r="B1065">
        <v>1064</v>
      </c>
      <c r="C1065" s="4" t="s">
        <v>98</v>
      </c>
      <c r="D1065" s="5" t="s">
        <v>2636</v>
      </c>
      <c r="E1065" s="4" t="s">
        <v>1558</v>
      </c>
      <c r="F1065" s="4" t="s">
        <v>2168</v>
      </c>
    </row>
    <row r="1066" spans="1:6" x14ac:dyDescent="0.25">
      <c r="A1066" s="4" t="s">
        <v>256</v>
      </c>
      <c r="B1066">
        <v>1065</v>
      </c>
      <c r="C1066" s="4" t="s">
        <v>99</v>
      </c>
      <c r="D1066" s="5" t="s">
        <v>317</v>
      </c>
      <c r="E1066" s="4" t="s">
        <v>1559</v>
      </c>
      <c r="F1066" s="4" t="s">
        <v>2169</v>
      </c>
    </row>
    <row r="1067" spans="1:6" x14ac:dyDescent="0.25">
      <c r="A1067" s="4" t="s">
        <v>256</v>
      </c>
      <c r="B1067">
        <v>1066</v>
      </c>
      <c r="C1067" s="4" t="s">
        <v>100</v>
      </c>
      <c r="D1067" s="5" t="s">
        <v>3036</v>
      </c>
      <c r="E1067" s="4" t="s">
        <v>1560</v>
      </c>
      <c r="F1067" s="4" t="s">
        <v>2170</v>
      </c>
    </row>
    <row r="1068" spans="1:6" x14ac:dyDescent="0.25">
      <c r="A1068" s="4" t="s">
        <v>256</v>
      </c>
      <c r="B1068">
        <v>1067</v>
      </c>
      <c r="C1068" s="4" t="s">
        <v>248</v>
      </c>
      <c r="D1068" s="5" t="s">
        <v>302</v>
      </c>
      <c r="E1068" s="4" t="s">
        <v>302</v>
      </c>
      <c r="F1068" s="4" t="s">
        <v>302</v>
      </c>
    </row>
    <row r="1069" spans="1:6" x14ac:dyDescent="0.25">
      <c r="A1069" s="4" t="s">
        <v>256</v>
      </c>
      <c r="B1069">
        <v>1068</v>
      </c>
      <c r="C1069" s="4" t="s">
        <v>101</v>
      </c>
      <c r="D1069" s="5" t="s">
        <v>3037</v>
      </c>
      <c r="E1069" s="4" t="s">
        <v>2265</v>
      </c>
      <c r="F1069" s="4" t="s">
        <v>2266</v>
      </c>
    </row>
    <row r="1070" spans="1:6" x14ac:dyDescent="0.25">
      <c r="A1070" s="4" t="s">
        <v>256</v>
      </c>
      <c r="B1070">
        <v>1069</v>
      </c>
      <c r="C1070" s="4" t="s">
        <v>102</v>
      </c>
      <c r="D1070" s="5" t="s">
        <v>3038</v>
      </c>
      <c r="E1070" s="4" t="s">
        <v>1561</v>
      </c>
      <c r="F1070" s="4" t="s">
        <v>2171</v>
      </c>
    </row>
    <row r="1071" spans="1:6" x14ac:dyDescent="0.25">
      <c r="A1071" s="4" t="s">
        <v>256</v>
      </c>
      <c r="B1071">
        <v>1070</v>
      </c>
      <c r="C1071" s="4" t="s">
        <v>103</v>
      </c>
      <c r="D1071" s="5" t="s">
        <v>2580</v>
      </c>
      <c r="E1071" s="4" t="s">
        <v>1562</v>
      </c>
      <c r="F1071" s="4" t="s">
        <v>2172</v>
      </c>
    </row>
    <row r="1072" spans="1:6" x14ac:dyDescent="0.25">
      <c r="A1072" s="4" t="s">
        <v>256</v>
      </c>
      <c r="B1072">
        <v>1071</v>
      </c>
      <c r="C1072" s="4" t="s">
        <v>190</v>
      </c>
      <c r="D1072" s="5" t="s">
        <v>3039</v>
      </c>
      <c r="E1072" s="4" t="s">
        <v>1563</v>
      </c>
      <c r="F1072" s="4" t="s">
        <v>2173</v>
      </c>
    </row>
    <row r="1073" spans="1:6" x14ac:dyDescent="0.25">
      <c r="A1073" s="4" t="s">
        <v>256</v>
      </c>
      <c r="B1073">
        <v>1072</v>
      </c>
      <c r="C1073" s="4" t="s">
        <v>104</v>
      </c>
      <c r="D1073" s="5" t="s">
        <v>2592</v>
      </c>
      <c r="E1073" s="4" t="s">
        <v>1564</v>
      </c>
      <c r="F1073" s="4" t="s">
        <v>2174</v>
      </c>
    </row>
    <row r="1074" spans="1:6" x14ac:dyDescent="0.25">
      <c r="A1074" s="4" t="s">
        <v>256</v>
      </c>
      <c r="B1074">
        <v>1073</v>
      </c>
      <c r="C1074" s="4" t="s">
        <v>105</v>
      </c>
      <c r="D1074" s="5" t="s">
        <v>3040</v>
      </c>
      <c r="E1074" s="4" t="s">
        <v>1565</v>
      </c>
      <c r="F1074" s="4" t="s">
        <v>2175</v>
      </c>
    </row>
    <row r="1075" spans="1:6" x14ac:dyDescent="0.25">
      <c r="A1075" s="4" t="s">
        <v>256</v>
      </c>
      <c r="B1075">
        <v>1074</v>
      </c>
      <c r="C1075" s="4" t="s">
        <v>106</v>
      </c>
      <c r="D1075" s="5" t="s">
        <v>2572</v>
      </c>
      <c r="E1075" s="4" t="s">
        <v>1566</v>
      </c>
      <c r="F1075" s="4" t="s">
        <v>2176</v>
      </c>
    </row>
    <row r="1076" spans="1:6" x14ac:dyDescent="0.25">
      <c r="A1076" s="4" t="s">
        <v>256</v>
      </c>
      <c r="B1076">
        <v>1075</v>
      </c>
      <c r="C1076" s="4" t="s">
        <v>107</v>
      </c>
      <c r="D1076" s="5" t="s">
        <v>3041</v>
      </c>
      <c r="E1076" s="4" t="s">
        <v>1567</v>
      </c>
      <c r="F1076" s="4" t="s">
        <v>2177</v>
      </c>
    </row>
    <row r="1077" spans="1:6" x14ac:dyDescent="0.25">
      <c r="A1077" s="4" t="s">
        <v>256</v>
      </c>
      <c r="B1077">
        <v>1076</v>
      </c>
      <c r="C1077" s="4" t="s">
        <v>224</v>
      </c>
      <c r="D1077" s="5" t="s">
        <v>3042</v>
      </c>
      <c r="E1077" s="4" t="s">
        <v>1568</v>
      </c>
      <c r="F1077" s="4" t="s">
        <v>2178</v>
      </c>
    </row>
    <row r="1078" spans="1:6" x14ac:dyDescent="0.25">
      <c r="A1078" s="4" t="s">
        <v>256</v>
      </c>
      <c r="B1078">
        <v>1077</v>
      </c>
      <c r="C1078" s="4" t="s">
        <v>108</v>
      </c>
      <c r="D1078" s="5" t="s">
        <v>2611</v>
      </c>
      <c r="E1078" s="4" t="s">
        <v>1569</v>
      </c>
      <c r="F1078" s="4" t="s">
        <v>2179</v>
      </c>
    </row>
    <row r="1079" spans="1:6" x14ac:dyDescent="0.25">
      <c r="A1079" s="4" t="s">
        <v>256</v>
      </c>
      <c r="B1079">
        <v>1078</v>
      </c>
      <c r="C1079" s="4" t="s">
        <v>109</v>
      </c>
      <c r="D1079" s="5" t="s">
        <v>2928</v>
      </c>
      <c r="E1079" s="4" t="s">
        <v>1651</v>
      </c>
      <c r="F1079" s="4" t="s">
        <v>2180</v>
      </c>
    </row>
    <row r="1080" spans="1:6" x14ac:dyDescent="0.25">
      <c r="A1080" s="4" t="s">
        <v>256</v>
      </c>
      <c r="B1080">
        <v>1079</v>
      </c>
      <c r="C1080" s="4" t="s">
        <v>174</v>
      </c>
      <c r="D1080" s="5" t="s">
        <v>2637</v>
      </c>
      <c r="E1080" s="4" t="s">
        <v>1570</v>
      </c>
      <c r="F1080" s="4" t="s">
        <v>2181</v>
      </c>
    </row>
    <row r="1081" spans="1:6" x14ac:dyDescent="0.25">
      <c r="A1081" s="4" t="s">
        <v>256</v>
      </c>
      <c r="B1081">
        <v>1080</v>
      </c>
      <c r="C1081" s="4" t="s">
        <v>110</v>
      </c>
      <c r="D1081" s="5" t="s">
        <v>3043</v>
      </c>
      <c r="E1081" s="4" t="s">
        <v>1571</v>
      </c>
      <c r="F1081" s="4" t="s">
        <v>2182</v>
      </c>
    </row>
    <row r="1082" spans="1:6" x14ac:dyDescent="0.25">
      <c r="A1082" s="4" t="s">
        <v>256</v>
      </c>
      <c r="B1082">
        <v>1081</v>
      </c>
      <c r="C1082" s="4" t="s">
        <v>111</v>
      </c>
      <c r="D1082" s="5" t="s">
        <v>3044</v>
      </c>
      <c r="E1082" s="4" t="s">
        <v>2259</v>
      </c>
      <c r="F1082" s="4" t="s">
        <v>2260</v>
      </c>
    </row>
    <row r="1083" spans="1:6" x14ac:dyDescent="0.25">
      <c r="A1083" s="4" t="s">
        <v>256</v>
      </c>
      <c r="B1083">
        <v>1082</v>
      </c>
      <c r="C1083" s="4" t="s">
        <v>175</v>
      </c>
      <c r="D1083" s="5" t="s">
        <v>3045</v>
      </c>
      <c r="E1083" s="4" t="s">
        <v>1572</v>
      </c>
      <c r="F1083" s="4" t="s">
        <v>2183</v>
      </c>
    </row>
    <row r="1084" spans="1:6" x14ac:dyDescent="0.25">
      <c r="A1084" s="4" t="s">
        <v>256</v>
      </c>
      <c r="B1084">
        <v>1083</v>
      </c>
      <c r="C1084" s="4" t="s">
        <v>112</v>
      </c>
      <c r="D1084" s="5" t="s">
        <v>3046</v>
      </c>
      <c r="E1084" s="4" t="s">
        <v>1573</v>
      </c>
      <c r="F1084" s="4" t="s">
        <v>2184</v>
      </c>
    </row>
    <row r="1085" spans="1:6" x14ac:dyDescent="0.25">
      <c r="A1085" s="4" t="s">
        <v>256</v>
      </c>
      <c r="B1085">
        <v>1084</v>
      </c>
      <c r="C1085" s="4" t="s">
        <v>225</v>
      </c>
      <c r="D1085" s="5" t="s">
        <v>2574</v>
      </c>
      <c r="E1085" s="4" t="s">
        <v>2253</v>
      </c>
      <c r="F1085" s="4" t="s">
        <v>2254</v>
      </c>
    </row>
    <row r="1086" spans="1:6" x14ac:dyDescent="0.25">
      <c r="A1086" s="4" t="s">
        <v>256</v>
      </c>
      <c r="B1086">
        <v>1085</v>
      </c>
      <c r="C1086" s="4" t="s">
        <v>113</v>
      </c>
      <c r="D1086" s="5" t="s">
        <v>3047</v>
      </c>
      <c r="E1086" s="4" t="s">
        <v>3048</v>
      </c>
      <c r="F1086" s="4" t="s">
        <v>3049</v>
      </c>
    </row>
    <row r="1087" spans="1:6" x14ac:dyDescent="0.25">
      <c r="A1087" s="4" t="s">
        <v>256</v>
      </c>
      <c r="B1087">
        <v>1086</v>
      </c>
      <c r="C1087" s="4" t="s">
        <v>114</v>
      </c>
      <c r="D1087" s="5" t="s">
        <v>2769</v>
      </c>
      <c r="E1087" s="4" t="s">
        <v>1574</v>
      </c>
      <c r="F1087" s="4" t="s">
        <v>2185</v>
      </c>
    </row>
    <row r="1088" spans="1:6" x14ac:dyDescent="0.25">
      <c r="A1088" s="4" t="s">
        <v>256</v>
      </c>
      <c r="B1088">
        <v>1087</v>
      </c>
      <c r="C1088" s="4" t="s">
        <v>115</v>
      </c>
      <c r="D1088" s="5" t="s">
        <v>3050</v>
      </c>
      <c r="E1088" s="4" t="s">
        <v>2267</v>
      </c>
      <c r="F1088" s="4" t="s">
        <v>2268</v>
      </c>
    </row>
    <row r="1089" spans="1:6" x14ac:dyDescent="0.25">
      <c r="A1089" s="4" t="s">
        <v>256</v>
      </c>
      <c r="B1089">
        <v>1088</v>
      </c>
      <c r="C1089" s="4" t="s">
        <v>116</v>
      </c>
      <c r="D1089" s="5" t="s">
        <v>3051</v>
      </c>
      <c r="E1089" s="4" t="s">
        <v>2269</v>
      </c>
      <c r="F1089" s="4" t="s">
        <v>2270</v>
      </c>
    </row>
    <row r="1090" spans="1:6" x14ac:dyDescent="0.25">
      <c r="A1090" s="4" t="s">
        <v>256</v>
      </c>
      <c r="B1090">
        <v>1089</v>
      </c>
      <c r="C1090" s="4" t="s">
        <v>117</v>
      </c>
      <c r="D1090" s="5" t="s">
        <v>302</v>
      </c>
      <c r="E1090" s="4" t="s">
        <v>302</v>
      </c>
      <c r="F1090" s="4" t="s">
        <v>302</v>
      </c>
    </row>
    <row r="1091" spans="1:6" x14ac:dyDescent="0.25">
      <c r="A1091" s="4" t="s">
        <v>256</v>
      </c>
      <c r="B1091">
        <v>1090</v>
      </c>
      <c r="C1091" s="4" t="s">
        <v>250</v>
      </c>
      <c r="D1091" s="5" t="s">
        <v>3052</v>
      </c>
      <c r="E1091" s="4" t="s">
        <v>1636</v>
      </c>
      <c r="F1091" s="4" t="s">
        <v>2186</v>
      </c>
    </row>
    <row r="1092" spans="1:6" x14ac:dyDescent="0.25">
      <c r="A1092" s="4" t="s">
        <v>256</v>
      </c>
      <c r="B1092">
        <v>1091</v>
      </c>
      <c r="C1092" s="4" t="s">
        <v>226</v>
      </c>
      <c r="D1092" s="5" t="s">
        <v>2627</v>
      </c>
      <c r="E1092" s="4" t="s">
        <v>1575</v>
      </c>
      <c r="F1092" s="4" t="s">
        <v>2187</v>
      </c>
    </row>
    <row r="1093" spans="1:6" x14ac:dyDescent="0.25">
      <c r="A1093" s="4" t="s">
        <v>256</v>
      </c>
      <c r="B1093">
        <v>1092</v>
      </c>
      <c r="C1093" s="4" t="s">
        <v>227</v>
      </c>
      <c r="D1093" s="5" t="s">
        <v>3053</v>
      </c>
      <c r="E1093" s="4" t="s">
        <v>1576</v>
      </c>
      <c r="F1093" s="4" t="s">
        <v>2188</v>
      </c>
    </row>
    <row r="1094" spans="1:6" x14ac:dyDescent="0.25">
      <c r="A1094" s="4" t="s">
        <v>256</v>
      </c>
      <c r="B1094">
        <v>1093</v>
      </c>
      <c r="C1094" s="4" t="s">
        <v>228</v>
      </c>
      <c r="D1094" s="5" t="s">
        <v>2638</v>
      </c>
      <c r="E1094" s="4" t="s">
        <v>1577</v>
      </c>
      <c r="F1094" s="4" t="s">
        <v>2189</v>
      </c>
    </row>
    <row r="1095" spans="1:6" x14ac:dyDescent="0.25">
      <c r="A1095" s="4" t="s">
        <v>256</v>
      </c>
      <c r="B1095">
        <v>1094</v>
      </c>
      <c r="C1095" s="4" t="s">
        <v>118</v>
      </c>
      <c r="D1095" s="5" t="s">
        <v>3054</v>
      </c>
      <c r="E1095" s="4" t="s">
        <v>1578</v>
      </c>
      <c r="F1095" s="4" t="s">
        <v>2190</v>
      </c>
    </row>
    <row r="1096" spans="1:6" x14ac:dyDescent="0.25">
      <c r="A1096" s="4" t="s">
        <v>256</v>
      </c>
      <c r="B1096">
        <v>1095</v>
      </c>
      <c r="C1096" s="4" t="s">
        <v>119</v>
      </c>
      <c r="D1096" s="5" t="s">
        <v>3055</v>
      </c>
      <c r="E1096" s="4" t="s">
        <v>1579</v>
      </c>
      <c r="F1096" s="4" t="s">
        <v>2191</v>
      </c>
    </row>
    <row r="1097" spans="1:6" x14ac:dyDescent="0.25">
      <c r="A1097" s="4" t="s">
        <v>256</v>
      </c>
      <c r="B1097">
        <v>1096</v>
      </c>
      <c r="C1097" s="4" t="s">
        <v>120</v>
      </c>
      <c r="D1097" s="5" t="s">
        <v>3056</v>
      </c>
      <c r="E1097" s="4" t="s">
        <v>1580</v>
      </c>
      <c r="F1097" s="4" t="s">
        <v>2192</v>
      </c>
    </row>
    <row r="1098" spans="1:6" x14ac:dyDescent="0.25">
      <c r="A1098" s="4" t="s">
        <v>256</v>
      </c>
      <c r="B1098">
        <v>1097</v>
      </c>
      <c r="C1098" s="4" t="s">
        <v>121</v>
      </c>
      <c r="D1098" s="5" t="s">
        <v>3057</v>
      </c>
      <c r="E1098" s="4" t="s">
        <v>1581</v>
      </c>
      <c r="F1098" s="4" t="s">
        <v>2193</v>
      </c>
    </row>
    <row r="1099" spans="1:6" x14ac:dyDescent="0.25">
      <c r="A1099" s="4" t="s">
        <v>256</v>
      </c>
      <c r="B1099">
        <v>1098</v>
      </c>
      <c r="C1099" s="4" t="s">
        <v>122</v>
      </c>
      <c r="D1099" s="5" t="s">
        <v>3058</v>
      </c>
      <c r="E1099" s="4" t="s">
        <v>1582</v>
      </c>
      <c r="F1099" s="4" t="s">
        <v>2194</v>
      </c>
    </row>
    <row r="1100" spans="1:6" x14ac:dyDescent="0.25">
      <c r="A1100" s="4" t="s">
        <v>256</v>
      </c>
      <c r="B1100">
        <v>1099</v>
      </c>
      <c r="C1100" s="4" t="s">
        <v>196</v>
      </c>
      <c r="D1100" s="5" t="s">
        <v>3059</v>
      </c>
      <c r="E1100" s="4" t="s">
        <v>1583</v>
      </c>
      <c r="F1100" s="4" t="s">
        <v>2195</v>
      </c>
    </row>
    <row r="1101" spans="1:6" x14ac:dyDescent="0.25">
      <c r="A1101" s="4" t="s">
        <v>256</v>
      </c>
      <c r="B1101">
        <v>1100</v>
      </c>
      <c r="C1101" s="4" t="s">
        <v>123</v>
      </c>
      <c r="D1101" s="5" t="s">
        <v>3060</v>
      </c>
      <c r="E1101" s="4" t="s">
        <v>1584</v>
      </c>
      <c r="F1101" s="4" t="s">
        <v>2196</v>
      </c>
    </row>
    <row r="1102" spans="1:6" x14ac:dyDescent="0.25">
      <c r="A1102" s="4" t="s">
        <v>256</v>
      </c>
      <c r="B1102">
        <v>1101</v>
      </c>
      <c r="C1102" s="4" t="s">
        <v>124</v>
      </c>
      <c r="D1102" s="5" t="s">
        <v>2918</v>
      </c>
      <c r="E1102" s="4" t="s">
        <v>1427</v>
      </c>
      <c r="F1102" s="4" t="s">
        <v>2045</v>
      </c>
    </row>
    <row r="1103" spans="1:6" x14ac:dyDescent="0.25">
      <c r="A1103" s="4" t="s">
        <v>256</v>
      </c>
      <c r="B1103">
        <v>1102</v>
      </c>
      <c r="C1103" s="4" t="s">
        <v>125</v>
      </c>
      <c r="D1103" s="5" t="s">
        <v>3061</v>
      </c>
      <c r="E1103" s="4" t="s">
        <v>1585</v>
      </c>
      <c r="F1103" s="4" t="s">
        <v>2197</v>
      </c>
    </row>
    <row r="1104" spans="1:6" x14ac:dyDescent="0.25">
      <c r="A1104" s="4" t="s">
        <v>256</v>
      </c>
      <c r="B1104">
        <v>1103</v>
      </c>
      <c r="C1104" s="4" t="s">
        <v>126</v>
      </c>
      <c r="D1104" s="5" t="s">
        <v>3062</v>
      </c>
      <c r="E1104" s="4" t="s">
        <v>1586</v>
      </c>
      <c r="F1104" s="4" t="s">
        <v>2198</v>
      </c>
    </row>
    <row r="1105" spans="1:6" x14ac:dyDescent="0.25">
      <c r="A1105" s="4" t="s">
        <v>256</v>
      </c>
      <c r="B1105">
        <v>1104</v>
      </c>
      <c r="C1105" s="4" t="s">
        <v>127</v>
      </c>
      <c r="D1105" s="5" t="s">
        <v>3063</v>
      </c>
      <c r="E1105" s="4" t="s">
        <v>1587</v>
      </c>
      <c r="F1105" s="4" t="s">
        <v>2199</v>
      </c>
    </row>
    <row r="1106" spans="1:6" x14ac:dyDescent="0.25">
      <c r="A1106" s="4" t="s">
        <v>256</v>
      </c>
      <c r="B1106">
        <v>1105</v>
      </c>
      <c r="C1106" s="4" t="s">
        <v>128</v>
      </c>
      <c r="D1106" s="5" t="s">
        <v>3064</v>
      </c>
      <c r="E1106" s="4" t="s">
        <v>1641</v>
      </c>
      <c r="F1106" s="4" t="s">
        <v>2200</v>
      </c>
    </row>
    <row r="1107" spans="1:6" x14ac:dyDescent="0.25">
      <c r="A1107" s="4" t="s">
        <v>256</v>
      </c>
      <c r="B1107">
        <v>1106</v>
      </c>
      <c r="C1107" s="4" t="s">
        <v>129</v>
      </c>
      <c r="D1107" s="5" t="s">
        <v>3065</v>
      </c>
      <c r="E1107" s="4" t="s">
        <v>1588</v>
      </c>
      <c r="F1107" s="4" t="s">
        <v>2201</v>
      </c>
    </row>
    <row r="1108" spans="1:6" x14ac:dyDescent="0.25">
      <c r="A1108" s="4" t="s">
        <v>256</v>
      </c>
      <c r="B1108">
        <v>1107</v>
      </c>
      <c r="C1108" s="4" t="s">
        <v>229</v>
      </c>
      <c r="D1108" s="5" t="s">
        <v>3066</v>
      </c>
      <c r="E1108" s="4" t="s">
        <v>1589</v>
      </c>
      <c r="F1108" s="4" t="s">
        <v>2202</v>
      </c>
    </row>
    <row r="1109" spans="1:6" x14ac:dyDescent="0.25">
      <c r="A1109" s="4" t="s">
        <v>256</v>
      </c>
      <c r="B1109">
        <v>1108</v>
      </c>
      <c r="C1109" s="4" t="s">
        <v>189</v>
      </c>
      <c r="D1109" s="5" t="s">
        <v>2572</v>
      </c>
      <c r="E1109" s="4" t="s">
        <v>1590</v>
      </c>
      <c r="F1109" s="4" t="s">
        <v>2203</v>
      </c>
    </row>
    <row r="1110" spans="1:6" x14ac:dyDescent="0.25">
      <c r="A1110" s="4" t="s">
        <v>256</v>
      </c>
      <c r="B1110">
        <v>1109</v>
      </c>
      <c r="C1110" s="4" t="s">
        <v>130</v>
      </c>
      <c r="D1110" s="5" t="s">
        <v>3067</v>
      </c>
      <c r="E1110" s="4" t="s">
        <v>1591</v>
      </c>
      <c r="F1110" s="4" t="s">
        <v>2204</v>
      </c>
    </row>
    <row r="1111" spans="1:6" x14ac:dyDescent="0.25">
      <c r="A1111" s="4" t="s">
        <v>256</v>
      </c>
      <c r="B1111">
        <v>1110</v>
      </c>
      <c r="C1111" s="4" t="s">
        <v>131</v>
      </c>
      <c r="D1111" s="5" t="s">
        <v>3068</v>
      </c>
      <c r="E1111" s="4" t="s">
        <v>1592</v>
      </c>
      <c r="F1111" s="4" t="s">
        <v>2205</v>
      </c>
    </row>
    <row r="1112" spans="1:6" x14ac:dyDescent="0.25">
      <c r="A1112" s="4" t="s">
        <v>256</v>
      </c>
      <c r="B1112">
        <v>1111</v>
      </c>
      <c r="C1112" s="4" t="s">
        <v>132</v>
      </c>
      <c r="D1112" s="5" t="s">
        <v>3069</v>
      </c>
      <c r="E1112" s="4" t="s">
        <v>1593</v>
      </c>
      <c r="F1112" s="4" t="s">
        <v>2206</v>
      </c>
    </row>
    <row r="1113" spans="1:6" x14ac:dyDescent="0.25">
      <c r="A1113" s="4" t="s">
        <v>256</v>
      </c>
      <c r="B1113">
        <v>1112</v>
      </c>
      <c r="C1113" s="4" t="s">
        <v>230</v>
      </c>
      <c r="D1113" s="5" t="s">
        <v>3070</v>
      </c>
      <c r="E1113" s="4" t="s">
        <v>1594</v>
      </c>
      <c r="F1113" s="4" t="s">
        <v>2207</v>
      </c>
    </row>
    <row r="1114" spans="1:6" x14ac:dyDescent="0.25">
      <c r="A1114" s="4" t="s">
        <v>256</v>
      </c>
      <c r="B1114">
        <v>1113</v>
      </c>
      <c r="C1114" s="4" t="s">
        <v>133</v>
      </c>
      <c r="D1114" s="5" t="s">
        <v>3071</v>
      </c>
      <c r="E1114" s="4" t="s">
        <v>1595</v>
      </c>
      <c r="F1114" s="4" t="s">
        <v>2208</v>
      </c>
    </row>
    <row r="1115" spans="1:6" x14ac:dyDescent="0.25">
      <c r="A1115" s="4" t="s">
        <v>256</v>
      </c>
      <c r="B1115">
        <v>1114</v>
      </c>
      <c r="C1115" s="4" t="s">
        <v>231</v>
      </c>
      <c r="D1115" s="5" t="s">
        <v>3072</v>
      </c>
      <c r="E1115" s="4" t="s">
        <v>1596</v>
      </c>
      <c r="F1115" s="4" t="s">
        <v>2209</v>
      </c>
    </row>
    <row r="1116" spans="1:6" x14ac:dyDescent="0.25">
      <c r="A1116" s="4" t="s">
        <v>256</v>
      </c>
      <c r="B1116">
        <v>1115</v>
      </c>
      <c r="C1116" s="4" t="s">
        <v>178</v>
      </c>
      <c r="D1116" s="5" t="s">
        <v>3073</v>
      </c>
      <c r="E1116" s="4" t="s">
        <v>1597</v>
      </c>
      <c r="F1116" s="4" t="s">
        <v>2210</v>
      </c>
    </row>
    <row r="1117" spans="1:6" x14ac:dyDescent="0.25">
      <c r="A1117" s="4" t="s">
        <v>256</v>
      </c>
      <c r="B1117">
        <v>1116</v>
      </c>
      <c r="C1117" s="4" t="s">
        <v>134</v>
      </c>
      <c r="D1117" s="5" t="s">
        <v>3074</v>
      </c>
      <c r="E1117" s="4" t="s">
        <v>1598</v>
      </c>
      <c r="F1117" s="4" t="s">
        <v>2211</v>
      </c>
    </row>
    <row r="1118" spans="1:6" x14ac:dyDescent="0.25">
      <c r="A1118" s="4" t="s">
        <v>256</v>
      </c>
      <c r="B1118">
        <v>1117</v>
      </c>
      <c r="C1118" s="4" t="s">
        <v>135</v>
      </c>
      <c r="D1118" s="5" t="s">
        <v>2635</v>
      </c>
      <c r="E1118" s="4" t="s">
        <v>1599</v>
      </c>
      <c r="F1118" s="4" t="s">
        <v>2212</v>
      </c>
    </row>
    <row r="1119" spans="1:6" x14ac:dyDescent="0.25">
      <c r="A1119" s="4" t="s">
        <v>256</v>
      </c>
      <c r="B1119">
        <v>1118</v>
      </c>
      <c r="C1119" s="4" t="s">
        <v>136</v>
      </c>
      <c r="D1119" s="5" t="s">
        <v>3075</v>
      </c>
      <c r="E1119" s="4" t="s">
        <v>1600</v>
      </c>
      <c r="F1119" s="4" t="s">
        <v>2213</v>
      </c>
    </row>
    <row r="1120" spans="1:6" x14ac:dyDescent="0.25">
      <c r="A1120" s="4" t="s">
        <v>256</v>
      </c>
      <c r="B1120">
        <v>1119</v>
      </c>
      <c r="C1120" s="4" t="s">
        <v>137</v>
      </c>
      <c r="D1120" s="5" t="s">
        <v>2626</v>
      </c>
      <c r="E1120" s="4" t="s">
        <v>1601</v>
      </c>
      <c r="F1120" s="4" t="s">
        <v>2214</v>
      </c>
    </row>
    <row r="1121" spans="1:6" x14ac:dyDescent="0.25">
      <c r="A1121" s="4" t="s">
        <v>256</v>
      </c>
      <c r="B1121">
        <v>1120</v>
      </c>
      <c r="C1121" s="4" t="s">
        <v>137</v>
      </c>
      <c r="D1121" s="5" t="s">
        <v>2626</v>
      </c>
      <c r="E1121" s="4" t="s">
        <v>1601</v>
      </c>
      <c r="F1121" s="4" t="s">
        <v>2214</v>
      </c>
    </row>
    <row r="1122" spans="1:6" x14ac:dyDescent="0.25">
      <c r="A1122" s="4" t="s">
        <v>256</v>
      </c>
      <c r="B1122">
        <v>1121</v>
      </c>
      <c r="C1122" s="4" t="s">
        <v>232</v>
      </c>
      <c r="D1122" s="5" t="s">
        <v>3076</v>
      </c>
      <c r="E1122" s="4" t="s">
        <v>1635</v>
      </c>
      <c r="F1122" s="4" t="s">
        <v>2215</v>
      </c>
    </row>
    <row r="1123" spans="1:6" x14ac:dyDescent="0.25">
      <c r="A1123" s="4" t="s">
        <v>256</v>
      </c>
      <c r="B1123">
        <v>1122</v>
      </c>
      <c r="C1123" s="4" t="s">
        <v>138</v>
      </c>
      <c r="D1123" s="5" t="s">
        <v>3077</v>
      </c>
      <c r="E1123" s="4" t="s">
        <v>1602</v>
      </c>
      <c r="F1123" s="4" t="s">
        <v>2216</v>
      </c>
    </row>
    <row r="1124" spans="1:6" x14ac:dyDescent="0.25">
      <c r="A1124" s="4" t="s">
        <v>256</v>
      </c>
      <c r="B1124">
        <v>1123</v>
      </c>
      <c r="C1124" s="4" t="s">
        <v>233</v>
      </c>
      <c r="D1124" s="5" t="s">
        <v>3078</v>
      </c>
      <c r="E1124" s="4" t="s">
        <v>1603</v>
      </c>
      <c r="F1124" s="4" t="s">
        <v>2217</v>
      </c>
    </row>
    <row r="1125" spans="1:6" x14ac:dyDescent="0.25">
      <c r="A1125" s="4" t="s">
        <v>256</v>
      </c>
      <c r="B1125">
        <v>1124</v>
      </c>
      <c r="C1125" s="4" t="s">
        <v>139</v>
      </c>
      <c r="D1125" s="5" t="s">
        <v>3047</v>
      </c>
      <c r="E1125" s="4" t="s">
        <v>1604</v>
      </c>
      <c r="F1125" s="4" t="s">
        <v>2218</v>
      </c>
    </row>
    <row r="1126" spans="1:6" x14ac:dyDescent="0.25">
      <c r="A1126" s="4" t="s">
        <v>256</v>
      </c>
      <c r="B1126">
        <v>1125</v>
      </c>
      <c r="C1126" s="4" t="s">
        <v>140</v>
      </c>
      <c r="D1126" s="5" t="s">
        <v>302</v>
      </c>
      <c r="E1126" s="4" t="s">
        <v>302</v>
      </c>
      <c r="F1126" s="4" t="s">
        <v>302</v>
      </c>
    </row>
    <row r="1127" spans="1:6" x14ac:dyDescent="0.25">
      <c r="A1127" s="4" t="s">
        <v>256</v>
      </c>
      <c r="B1127">
        <v>1126</v>
      </c>
      <c r="C1127" s="4" t="s">
        <v>188</v>
      </c>
      <c r="D1127" s="5" t="s">
        <v>317</v>
      </c>
      <c r="E1127" s="4" t="s">
        <v>1605</v>
      </c>
      <c r="F1127" s="4" t="s">
        <v>2219</v>
      </c>
    </row>
    <row r="1128" spans="1:6" x14ac:dyDescent="0.25">
      <c r="A1128" s="4" t="s">
        <v>256</v>
      </c>
      <c r="B1128">
        <v>1127</v>
      </c>
      <c r="C1128" s="4" t="s">
        <v>141</v>
      </c>
      <c r="D1128" s="5" t="s">
        <v>3079</v>
      </c>
      <c r="E1128" s="4" t="s">
        <v>1606</v>
      </c>
      <c r="F1128" s="4" t="s">
        <v>2220</v>
      </c>
    </row>
    <row r="1129" spans="1:6" x14ac:dyDescent="0.25">
      <c r="A1129" s="4" t="s">
        <v>256</v>
      </c>
      <c r="B1129">
        <v>1128</v>
      </c>
      <c r="C1129" s="4" t="s">
        <v>142</v>
      </c>
      <c r="D1129" s="5" t="s">
        <v>3080</v>
      </c>
      <c r="E1129" s="4" t="s">
        <v>1607</v>
      </c>
      <c r="F1129" s="4" t="s">
        <v>2221</v>
      </c>
    </row>
    <row r="1130" spans="1:6" x14ac:dyDescent="0.25">
      <c r="A1130" s="4" t="s">
        <v>256</v>
      </c>
      <c r="B1130">
        <v>1129</v>
      </c>
      <c r="C1130" s="4" t="s">
        <v>143</v>
      </c>
      <c r="D1130" s="5" t="s">
        <v>3081</v>
      </c>
      <c r="E1130" s="4" t="s">
        <v>1608</v>
      </c>
      <c r="F1130" s="4" t="s">
        <v>2222</v>
      </c>
    </row>
    <row r="1131" spans="1:6" x14ac:dyDescent="0.25">
      <c r="A1131" s="4" t="s">
        <v>256</v>
      </c>
      <c r="B1131">
        <v>1130</v>
      </c>
      <c r="C1131" s="4" t="s">
        <v>144</v>
      </c>
      <c r="D1131" s="5" t="s">
        <v>3082</v>
      </c>
      <c r="E1131" s="4" t="s">
        <v>1609</v>
      </c>
      <c r="F1131" s="4" t="s">
        <v>2223</v>
      </c>
    </row>
    <row r="1132" spans="1:6" x14ac:dyDescent="0.25">
      <c r="A1132" s="4" t="s">
        <v>256</v>
      </c>
      <c r="B1132">
        <v>1131</v>
      </c>
      <c r="C1132" s="4" t="s">
        <v>145</v>
      </c>
      <c r="D1132" s="5" t="s">
        <v>3083</v>
      </c>
      <c r="E1132" s="4" t="s">
        <v>1610</v>
      </c>
      <c r="F1132" s="4" t="s">
        <v>2224</v>
      </c>
    </row>
    <row r="1133" spans="1:6" x14ac:dyDescent="0.25">
      <c r="A1133" s="4" t="s">
        <v>256</v>
      </c>
      <c r="B1133">
        <v>1132</v>
      </c>
      <c r="C1133" s="4" t="s">
        <v>176</v>
      </c>
      <c r="D1133" s="5" t="s">
        <v>3084</v>
      </c>
      <c r="E1133" s="4" t="s">
        <v>1611</v>
      </c>
      <c r="F1133" s="4" t="s">
        <v>2225</v>
      </c>
    </row>
    <row r="1134" spans="1:6" x14ac:dyDescent="0.25">
      <c r="A1134" s="4" t="s">
        <v>256</v>
      </c>
      <c r="B1134">
        <v>1133</v>
      </c>
      <c r="C1134" s="4" t="s">
        <v>146</v>
      </c>
      <c r="D1134" s="5" t="s">
        <v>3085</v>
      </c>
      <c r="E1134" s="4" t="s">
        <v>1612</v>
      </c>
      <c r="F1134" s="4" t="s">
        <v>2226</v>
      </c>
    </row>
    <row r="1135" spans="1:6" x14ac:dyDescent="0.25">
      <c r="A1135" s="4" t="s">
        <v>256</v>
      </c>
      <c r="B1135">
        <v>1134</v>
      </c>
      <c r="C1135" s="4" t="s">
        <v>234</v>
      </c>
      <c r="D1135" s="5" t="s">
        <v>3086</v>
      </c>
      <c r="E1135" s="4" t="s">
        <v>1613</v>
      </c>
      <c r="F1135" s="4" t="s">
        <v>2227</v>
      </c>
    </row>
    <row r="1136" spans="1:6" x14ac:dyDescent="0.25">
      <c r="A1136" s="4" t="s">
        <v>256</v>
      </c>
      <c r="B1136">
        <v>1135</v>
      </c>
      <c r="C1136" s="4" t="s">
        <v>235</v>
      </c>
      <c r="D1136" s="5" t="s">
        <v>2797</v>
      </c>
      <c r="E1136" s="4" t="s">
        <v>1614</v>
      </c>
      <c r="F1136" s="4" t="s">
        <v>2228</v>
      </c>
    </row>
    <row r="1137" spans="1:6" x14ac:dyDescent="0.25">
      <c r="A1137" s="4" t="s">
        <v>256</v>
      </c>
      <c r="B1137">
        <v>1136</v>
      </c>
      <c r="C1137" s="4" t="s">
        <v>147</v>
      </c>
      <c r="D1137" s="5" t="s">
        <v>3087</v>
      </c>
      <c r="E1137" s="4" t="s">
        <v>1615</v>
      </c>
      <c r="F1137" s="4" t="s">
        <v>2229</v>
      </c>
    </row>
    <row r="1138" spans="1:6" x14ac:dyDescent="0.25">
      <c r="A1138" s="4" t="s">
        <v>256</v>
      </c>
      <c r="B1138">
        <v>1137</v>
      </c>
      <c r="C1138" s="4" t="s">
        <v>148</v>
      </c>
      <c r="D1138" s="5" t="s">
        <v>3088</v>
      </c>
      <c r="E1138" s="4" t="s">
        <v>1616</v>
      </c>
      <c r="F1138" s="4" t="s">
        <v>2230</v>
      </c>
    </row>
    <row r="1139" spans="1:6" x14ac:dyDescent="0.25">
      <c r="A1139" s="4" t="s">
        <v>256</v>
      </c>
      <c r="B1139">
        <v>1138</v>
      </c>
      <c r="C1139" s="4" t="s">
        <v>149</v>
      </c>
      <c r="D1139" s="5" t="s">
        <v>3089</v>
      </c>
      <c r="E1139" s="4" t="s">
        <v>1617</v>
      </c>
      <c r="F1139" s="4" t="s">
        <v>2231</v>
      </c>
    </row>
    <row r="1140" spans="1:6" x14ac:dyDescent="0.25">
      <c r="A1140" s="4" t="s">
        <v>256</v>
      </c>
      <c r="B1140">
        <v>1139</v>
      </c>
      <c r="C1140" s="4" t="s">
        <v>150</v>
      </c>
      <c r="D1140" s="5" t="s">
        <v>2919</v>
      </c>
      <c r="E1140" s="4" t="s">
        <v>1428</v>
      </c>
      <c r="F1140" s="4" t="s">
        <v>2046</v>
      </c>
    </row>
    <row r="1141" spans="1:6" x14ac:dyDescent="0.25">
      <c r="A1141" s="4" t="s">
        <v>256</v>
      </c>
      <c r="B1141">
        <v>1140</v>
      </c>
      <c r="C1141" s="4" t="s">
        <v>151</v>
      </c>
      <c r="D1141" s="5" t="s">
        <v>509</v>
      </c>
      <c r="E1141" s="4" t="s">
        <v>1429</v>
      </c>
      <c r="F1141" s="4" t="s">
        <v>2047</v>
      </c>
    </row>
    <row r="1142" spans="1:6" x14ac:dyDescent="0.25">
      <c r="A1142" s="4" t="s">
        <v>256</v>
      </c>
      <c r="B1142">
        <v>1141</v>
      </c>
      <c r="C1142" s="4" t="s">
        <v>152</v>
      </c>
      <c r="D1142" s="5" t="s">
        <v>3090</v>
      </c>
      <c r="E1142" s="4" t="s">
        <v>1618</v>
      </c>
      <c r="F1142" s="4" t="s">
        <v>2232</v>
      </c>
    </row>
    <row r="1143" spans="1:6" x14ac:dyDescent="0.25">
      <c r="A1143" s="4" t="s">
        <v>256</v>
      </c>
      <c r="B1143">
        <v>1142</v>
      </c>
      <c r="C1143" s="4" t="s">
        <v>236</v>
      </c>
      <c r="D1143" s="5" t="s">
        <v>3091</v>
      </c>
      <c r="E1143" s="4" t="s">
        <v>1619</v>
      </c>
      <c r="F1143" s="4" t="s">
        <v>2233</v>
      </c>
    </row>
    <row r="1144" spans="1:6" x14ac:dyDescent="0.25">
      <c r="A1144" s="4" t="s">
        <v>256</v>
      </c>
      <c r="B1144">
        <v>1143</v>
      </c>
      <c r="C1144" s="4" t="s">
        <v>153</v>
      </c>
      <c r="D1144" s="5" t="s">
        <v>3092</v>
      </c>
      <c r="E1144" s="4" t="s">
        <v>1620</v>
      </c>
      <c r="F1144" s="4" t="s">
        <v>2234</v>
      </c>
    </row>
    <row r="1145" spans="1:6" x14ac:dyDescent="0.25">
      <c r="A1145" s="4" t="s">
        <v>256</v>
      </c>
      <c r="B1145">
        <v>1144</v>
      </c>
      <c r="C1145" s="4" t="s">
        <v>154</v>
      </c>
      <c r="D1145" s="5" t="s">
        <v>2628</v>
      </c>
      <c r="E1145" s="4" t="s">
        <v>1621</v>
      </c>
      <c r="F1145" s="4" t="s">
        <v>2235</v>
      </c>
    </row>
    <row r="1146" spans="1:6" x14ac:dyDescent="0.25">
      <c r="A1146" s="4" t="s">
        <v>256</v>
      </c>
      <c r="B1146">
        <v>1145</v>
      </c>
      <c r="C1146" s="4" t="s">
        <v>155</v>
      </c>
      <c r="D1146" s="5" t="s">
        <v>3093</v>
      </c>
      <c r="E1146" s="4" t="s">
        <v>1622</v>
      </c>
      <c r="F1146" s="4" t="s">
        <v>2236</v>
      </c>
    </row>
    <row r="1147" spans="1:6" x14ac:dyDescent="0.25">
      <c r="A1147" s="4" t="s">
        <v>256</v>
      </c>
      <c r="B1147">
        <v>1146</v>
      </c>
      <c r="C1147" s="4" t="s">
        <v>156</v>
      </c>
      <c r="D1147" s="5" t="s">
        <v>3094</v>
      </c>
      <c r="E1147" s="4" t="s">
        <v>1623</v>
      </c>
      <c r="F1147" s="4" t="s">
        <v>2237</v>
      </c>
    </row>
    <row r="1148" spans="1:6" x14ac:dyDescent="0.25">
      <c r="A1148" s="4" t="s">
        <v>256</v>
      </c>
      <c r="B1148">
        <v>1147</v>
      </c>
      <c r="C1148" s="4" t="s">
        <v>237</v>
      </c>
      <c r="D1148" s="5" t="s">
        <v>3095</v>
      </c>
      <c r="E1148" s="4" t="s">
        <v>1624</v>
      </c>
      <c r="F1148" s="4" t="s">
        <v>2238</v>
      </c>
    </row>
    <row r="1149" spans="1:6" x14ac:dyDescent="0.25">
      <c r="A1149" s="4" t="s">
        <v>256</v>
      </c>
      <c r="B1149">
        <v>1148</v>
      </c>
      <c r="C1149" s="4" t="s">
        <v>157</v>
      </c>
      <c r="D1149" s="5" t="s">
        <v>2899</v>
      </c>
      <c r="E1149" s="4" t="s">
        <v>1625</v>
      </c>
      <c r="F1149" s="4" t="s">
        <v>2239</v>
      </c>
    </row>
    <row r="1150" spans="1:6" x14ac:dyDescent="0.25">
      <c r="A1150" s="4" t="s">
        <v>256</v>
      </c>
      <c r="B1150">
        <v>1149</v>
      </c>
      <c r="C1150" s="4" t="s">
        <v>158</v>
      </c>
      <c r="D1150" s="5" t="s">
        <v>317</v>
      </c>
      <c r="E1150" s="4" t="s">
        <v>1626</v>
      </c>
      <c r="F1150" s="4" t="s">
        <v>2240</v>
      </c>
    </row>
    <row r="1151" spans="1:6" x14ac:dyDescent="0.25">
      <c r="A1151" s="4" t="s">
        <v>256</v>
      </c>
      <c r="B1151">
        <v>1150</v>
      </c>
      <c r="C1151" s="4" t="s">
        <v>249</v>
      </c>
      <c r="D1151" s="5" t="s">
        <v>3096</v>
      </c>
      <c r="E1151" s="4" t="s">
        <v>2306</v>
      </c>
      <c r="F1151" s="4" t="s">
        <v>2307</v>
      </c>
    </row>
    <row r="1152" spans="1:6" x14ac:dyDescent="0.25">
      <c r="A1152" s="4" t="s">
        <v>256</v>
      </c>
      <c r="B1152">
        <v>1151</v>
      </c>
      <c r="C1152" s="4" t="s">
        <v>159</v>
      </c>
      <c r="D1152" s="5" t="s">
        <v>3097</v>
      </c>
      <c r="E1152" s="4" t="s">
        <v>1627</v>
      </c>
      <c r="F1152" s="4" t="s">
        <v>2241</v>
      </c>
    </row>
    <row r="1153" spans="1:6" x14ac:dyDescent="0.25">
      <c r="A1153" s="4" t="s">
        <v>256</v>
      </c>
      <c r="B1153">
        <v>1152</v>
      </c>
      <c r="C1153" s="4" t="s">
        <v>160</v>
      </c>
      <c r="D1153" s="5" t="s">
        <v>3098</v>
      </c>
      <c r="E1153" s="4" t="s">
        <v>2265</v>
      </c>
      <c r="F1153" s="4" t="s">
        <v>2266</v>
      </c>
    </row>
    <row r="1154" spans="1:6" x14ac:dyDescent="0.25">
      <c r="A1154" s="4" t="s">
        <v>256</v>
      </c>
      <c r="B1154">
        <v>1153</v>
      </c>
      <c r="C1154" s="4" t="s">
        <v>161</v>
      </c>
      <c r="D1154" s="5" t="s">
        <v>3099</v>
      </c>
      <c r="E1154" s="4" t="s">
        <v>1628</v>
      </c>
      <c r="F1154" s="4" t="s">
        <v>2242</v>
      </c>
    </row>
    <row r="1155" spans="1:6" x14ac:dyDescent="0.25">
      <c r="A1155" s="4" t="s">
        <v>256</v>
      </c>
      <c r="B1155">
        <v>1154</v>
      </c>
      <c r="C1155" s="4" t="s">
        <v>162</v>
      </c>
      <c r="D1155" s="5" t="s">
        <v>3100</v>
      </c>
      <c r="E1155" s="4" t="s">
        <v>1629</v>
      </c>
      <c r="F1155" s="4" t="s">
        <v>2243</v>
      </c>
    </row>
    <row r="1156" spans="1:6" x14ac:dyDescent="0.25">
      <c r="A1156" s="4" t="s">
        <v>256</v>
      </c>
      <c r="B1156">
        <v>1155</v>
      </c>
      <c r="C1156" s="4" t="s">
        <v>163</v>
      </c>
      <c r="D1156" s="5" t="s">
        <v>2632</v>
      </c>
      <c r="E1156" s="4" t="s">
        <v>1630</v>
      </c>
      <c r="F1156" s="4" t="s">
        <v>2244</v>
      </c>
    </row>
    <row r="1157" spans="1:6" x14ac:dyDescent="0.25">
      <c r="A1157" s="4" t="s">
        <v>256</v>
      </c>
      <c r="B1157">
        <v>1156</v>
      </c>
      <c r="C1157" s="4" t="s">
        <v>164</v>
      </c>
      <c r="D1157" s="5" t="s">
        <v>3101</v>
      </c>
      <c r="E1157" s="4" t="s">
        <v>1631</v>
      </c>
      <c r="F1157" s="4" t="s">
        <v>2245</v>
      </c>
    </row>
    <row r="1158" spans="1:6" x14ac:dyDescent="0.25">
      <c r="A1158" s="4" t="s">
        <v>256</v>
      </c>
      <c r="B1158">
        <v>1157</v>
      </c>
      <c r="C1158" s="4" t="s">
        <v>165</v>
      </c>
      <c r="D1158" s="5" t="s">
        <v>2908</v>
      </c>
      <c r="E1158" s="4" t="s">
        <v>1417</v>
      </c>
      <c r="F1158" s="4" t="s">
        <v>2035</v>
      </c>
    </row>
    <row r="1159" spans="1:6" x14ac:dyDescent="0.25">
      <c r="A1159" s="4" t="s">
        <v>256</v>
      </c>
      <c r="B1159">
        <v>1158</v>
      </c>
      <c r="C1159" s="4" t="s">
        <v>166</v>
      </c>
      <c r="D1159" s="5" t="s">
        <v>2920</v>
      </c>
      <c r="E1159" s="4" t="s">
        <v>1430</v>
      </c>
      <c r="F1159" s="4" t="s">
        <v>2048</v>
      </c>
    </row>
    <row r="1160" spans="1:6" x14ac:dyDescent="0.25">
      <c r="A1160" s="4" t="s">
        <v>256</v>
      </c>
      <c r="B1160">
        <v>1159</v>
      </c>
      <c r="C1160" s="4" t="s">
        <v>167</v>
      </c>
      <c r="D1160" s="5" t="s">
        <v>3102</v>
      </c>
      <c r="E1160" s="4" t="s">
        <v>1632</v>
      </c>
      <c r="F1160" s="4" t="s">
        <v>2246</v>
      </c>
    </row>
    <row r="1161" spans="1:6" x14ac:dyDescent="0.25">
      <c r="A1161" s="4" t="s">
        <v>256</v>
      </c>
      <c r="B1161">
        <v>1160</v>
      </c>
      <c r="C1161" s="4" t="s">
        <v>168</v>
      </c>
      <c r="D1161" s="5" t="s">
        <v>3089</v>
      </c>
      <c r="E1161" s="4" t="s">
        <v>1633</v>
      </c>
      <c r="F1161" s="4" t="s">
        <v>2247</v>
      </c>
    </row>
    <row r="1162" spans="1:6" x14ac:dyDescent="0.25">
      <c r="A1162" s="4" t="s">
        <v>256</v>
      </c>
      <c r="B1162">
        <v>1161</v>
      </c>
      <c r="C1162" s="4" t="s">
        <v>169</v>
      </c>
      <c r="D1162" s="5" t="s">
        <v>3103</v>
      </c>
      <c r="E1162" s="4" t="s">
        <v>1634</v>
      </c>
      <c r="F1162" s="4" t="s">
        <v>2248</v>
      </c>
    </row>
    <row r="1163" spans="1:6" x14ac:dyDescent="0.25">
      <c r="A1163" s="4" t="s">
        <v>256</v>
      </c>
      <c r="B1163">
        <v>1162</v>
      </c>
      <c r="C1163" s="4" t="s">
        <v>238</v>
      </c>
      <c r="D1163" s="5" t="s">
        <v>302</v>
      </c>
      <c r="E1163" s="4" t="s">
        <v>302</v>
      </c>
      <c r="F1163" s="4" t="s">
        <v>302</v>
      </c>
    </row>
  </sheetData>
  <phoneticPr fontId="6" type="noConversion"/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4F499-3140-4E4E-8962-BA0D8D43FB38}">
  <sheetPr codeName="Planilha2"/>
  <dimension ref="B2:M215"/>
  <sheetViews>
    <sheetView topLeftCell="E1" zoomScale="80" zoomScaleNormal="80" workbookViewId="0">
      <pane ySplit="2" topLeftCell="A3" activePane="bottomLeft" state="frozen"/>
      <selection pane="bottomLeft" activeCell="K15" sqref="K15"/>
    </sheetView>
  </sheetViews>
  <sheetFormatPr defaultRowHeight="15" x14ac:dyDescent="0.25"/>
  <cols>
    <col min="1" max="1" width="4.140625" customWidth="1"/>
    <col min="2" max="2" width="14.7109375" customWidth="1"/>
    <col min="3" max="3" width="19.85546875" style="87" customWidth="1"/>
    <col min="4" max="4" width="14.7109375" customWidth="1"/>
    <col min="5" max="5" width="70.42578125" bestFit="1" customWidth="1"/>
    <col min="6" max="6" width="10.85546875" customWidth="1"/>
    <col min="7" max="7" width="15" bestFit="1" customWidth="1"/>
    <col min="8" max="8" width="21.42578125" customWidth="1"/>
    <col min="9" max="9" width="18.42578125" bestFit="1" customWidth="1"/>
    <col min="10" max="10" width="21.42578125" customWidth="1"/>
    <col min="11" max="11" width="21" bestFit="1" customWidth="1"/>
    <col min="12" max="13" width="21.42578125" customWidth="1"/>
  </cols>
  <sheetData>
    <row r="2" spans="2:13" ht="37.5" x14ac:dyDescent="0.25">
      <c r="B2" s="8" t="s">
        <v>1652</v>
      </c>
      <c r="C2" s="85" t="s">
        <v>1663</v>
      </c>
      <c r="D2" s="8" t="s">
        <v>1653</v>
      </c>
      <c r="E2" s="8" t="s">
        <v>1654</v>
      </c>
      <c r="F2" s="8" t="s">
        <v>1655</v>
      </c>
      <c r="G2" s="8" t="s">
        <v>1664</v>
      </c>
      <c r="H2" s="8" t="s">
        <v>1656</v>
      </c>
      <c r="I2" s="8" t="s">
        <v>1657</v>
      </c>
      <c r="J2" s="8" t="s">
        <v>1658</v>
      </c>
      <c r="K2" s="9" t="s">
        <v>1659</v>
      </c>
      <c r="L2" s="8" t="s">
        <v>1660</v>
      </c>
      <c r="M2" s="8" t="s">
        <v>1661</v>
      </c>
    </row>
    <row r="3" spans="2:13" ht="15.75" x14ac:dyDescent="0.25">
      <c r="B3" s="34" t="s">
        <v>1665</v>
      </c>
      <c r="C3" s="84">
        <v>43970</v>
      </c>
      <c r="D3" s="16" t="s">
        <v>80</v>
      </c>
      <c r="E3" s="12" t="str">
        <f>VLOOKUP(Tabela13[[#This Row],[Código]],'COTAÇÃO ATUAL'!C:F,4,0)</f>
        <v>KINEA RENDA IMOBILIARIA FII</v>
      </c>
      <c r="F3" s="12" t="s">
        <v>1662</v>
      </c>
      <c r="G3" s="12">
        <v>2</v>
      </c>
      <c r="H3" s="11">
        <v>163.5</v>
      </c>
      <c r="I3" s="32">
        <f>Tabela13[[#This Row],[Quantidade]]*Tabela13[[#This Row],[Cotação na Compra ou Venda]]</f>
        <v>327</v>
      </c>
      <c r="J3" s="80">
        <f>SUMIFS(G:G,D:D,D3,B:B,"Compra")-(SUMIFS(G:G,D:D,D3,B:B,"Venda"))</f>
        <v>30</v>
      </c>
      <c r="K3" s="81">
        <f>SUMIFS(G:G,D:D,D3,B:B,"Compra")-(SUMIFS(G:G,D:D,D3,B:B,"Venda"))</f>
        <v>30</v>
      </c>
      <c r="L3" s="32">
        <f t="shared" ref="L3:L4" si="0">IF(K3&lt;=0,0,ROUND(M3*K3,2))</f>
        <v>4487.1000000000004</v>
      </c>
      <c r="M3" s="32">
        <f>IF(K3&lt;=0,0,IFERROR(ROUND(SUMIFS(I:I,D:D,D3,B:B,"Compra")/SUMIFS(G:G,D:D,D3,B:B,"Compra"),2),""))</f>
        <v>149.57</v>
      </c>
    </row>
    <row r="4" spans="2:13" ht="15.75" x14ac:dyDescent="0.25">
      <c r="B4" s="34" t="s">
        <v>1665</v>
      </c>
      <c r="C4" s="84">
        <v>43971</v>
      </c>
      <c r="D4" s="16" t="s">
        <v>150</v>
      </c>
      <c r="E4" s="12" t="str">
        <f>VLOOKUP(Tabela13[[#This Row],[Código]],'COTAÇÃO ATUAL'!C:F,4,0)</f>
        <v>VINCI LOGISTICA FUNDO DE INVESTIMENTO IMOBILIARIO</v>
      </c>
      <c r="F4" s="12" t="s">
        <v>1662</v>
      </c>
      <c r="G4" s="12">
        <v>2</v>
      </c>
      <c r="H4" s="11">
        <v>108.94</v>
      </c>
      <c r="I4" s="32">
        <f>Tabela13[[#This Row],[Quantidade]]*Tabela13[[#This Row],[Cotação na Compra ou Venda]]</f>
        <v>217.88</v>
      </c>
      <c r="J4" s="80">
        <f>SUMIFS(G:G,D:D,D4,B:B,"Compra")-(SUMIFS(G:G,D:D,D4,B:B,"Venda"))</f>
        <v>27</v>
      </c>
      <c r="K4" s="81">
        <f>SUMIFS(G:G,D:D,D4,B:B,"Compra")-(SUMIFS(G:G,D:D,D4,B:B,"Venda"))</f>
        <v>27</v>
      </c>
      <c r="L4" s="32">
        <f t="shared" si="0"/>
        <v>2935.17</v>
      </c>
      <c r="M4" s="32">
        <f>IF(K4&lt;=0,0,IFERROR(ROUND(SUMIFS(I:I,D:D,D4,B:B,"Compra")/SUMIFS(G:G,D:D,D4,B:B,"Compra"),2),""))</f>
        <v>108.71</v>
      </c>
    </row>
    <row r="5" spans="2:13" ht="15.75" x14ac:dyDescent="0.25">
      <c r="B5" s="34" t="s">
        <v>1665</v>
      </c>
      <c r="C5" s="84">
        <v>43935</v>
      </c>
      <c r="D5" s="15" t="s">
        <v>84</v>
      </c>
      <c r="E5" s="13" t="str">
        <f>VLOOKUP(Tabela13[[#This Row],[Código]],'COTAÇÃO ATUAL'!C:F,4,0)</f>
        <v>FUNDO DE INVESTIMENTO IMOBILIARIO - VBI LOGISTICO</v>
      </c>
      <c r="F5" s="12" t="s">
        <v>1662</v>
      </c>
      <c r="G5" s="12">
        <v>1</v>
      </c>
      <c r="H5" s="14">
        <v>108</v>
      </c>
      <c r="I5" s="33">
        <f>Tabela13[[#This Row],[Quantidade]]*Tabela13[[#This Row],[Cotação na Compra ou Venda]]</f>
        <v>108</v>
      </c>
      <c r="J5" s="82">
        <f>SUMIFS(G:G,D:D,D5,B:B,"Compra")-(SUMIFS(G:G,D:D,D5,B:B,"Venda"))</f>
        <v>29</v>
      </c>
      <c r="K5" s="83">
        <f>SUMIFS(G:G,D:D,D5,B:B,"Compra")-(SUMIFS(G:G,D:D,D5,B:B,"Venda"))</f>
        <v>29</v>
      </c>
      <c r="L5" s="33">
        <f>IF(K5&lt;=0,0,ROUND(M5*K5,2))</f>
        <v>3103.29</v>
      </c>
      <c r="M5" s="33">
        <f>IF(K5&lt;=0,0,IFERROR(ROUND(SUMIFS(I:I,D:D,D5,B:B,"Compra")/SUMIFS(G:G,D:D,D5,B:B,"Compra"),2),""))</f>
        <v>107.01</v>
      </c>
    </row>
    <row r="6" spans="2:13" ht="15.75" x14ac:dyDescent="0.25">
      <c r="B6" s="34" t="s">
        <v>1665</v>
      </c>
      <c r="C6" s="84">
        <v>43873</v>
      </c>
      <c r="D6" s="16" t="s">
        <v>165</v>
      </c>
      <c r="E6" s="12" t="str">
        <f>VLOOKUP(Tabela13[[#This Row],[Código]],'COTAÇÃO ATUAL'!C:F,4,0)</f>
        <v>XP LOG FUNDO DE INVESTIMENTO IMOBILIARIO-FII</v>
      </c>
      <c r="F6" s="12" t="s">
        <v>1662</v>
      </c>
      <c r="G6" s="12">
        <v>2</v>
      </c>
      <c r="H6" s="11">
        <v>130</v>
      </c>
      <c r="I6" s="32">
        <f>Tabela13[[#This Row],[Quantidade]]*Tabela13[[#This Row],[Cotação na Compra ou Venda]]</f>
        <v>260</v>
      </c>
      <c r="J6" s="80">
        <f>SUMIFS(G:G,D:D,D6,B:B,"Compra")-(SUMIFS(G:G,D:D,D6,B:B,"Venda"))</f>
        <v>34</v>
      </c>
      <c r="K6" s="81">
        <f>SUMIFS(G:G,D:D,D6,B:B,"Compra")-(SUMIFS(G:G,D:D,D6,B:B,"Venda"))</f>
        <v>34</v>
      </c>
      <c r="L6" s="32">
        <f t="shared" ref="L6:L7" si="1">IF(K6&lt;=0,0,ROUND(M6*K6,2))</f>
        <v>3825.68</v>
      </c>
      <c r="M6" s="32">
        <f>IF(K6&lt;=0,0,IFERROR(ROUND(SUMIFS(I:I,D:D,D6,B:B,"Compra")/SUMIFS(G:G,D:D,D6,B:B,"Compra"),2),""))</f>
        <v>112.52</v>
      </c>
    </row>
    <row r="7" spans="2:13" ht="15.75" x14ac:dyDescent="0.25">
      <c r="B7" s="34" t="s">
        <v>1665</v>
      </c>
      <c r="C7" s="84">
        <v>43873</v>
      </c>
      <c r="D7" s="16" t="s">
        <v>166</v>
      </c>
      <c r="E7" s="12" t="str">
        <f>VLOOKUP(Tabela13[[#This Row],[Código]],'COTAÇÃO ATUAL'!C:F,4,0)</f>
        <v>XP MALLS FUNDO DE INVESTIMENTO IMOBILIARIO</v>
      </c>
      <c r="F7" s="12" t="s">
        <v>1662</v>
      </c>
      <c r="G7" s="12">
        <v>2</v>
      </c>
      <c r="H7" s="11">
        <v>137.66</v>
      </c>
      <c r="I7" s="32">
        <f>Tabela13[[#This Row],[Quantidade]]*Tabela13[[#This Row],[Cotação na Compra ou Venda]]</f>
        <v>275.32</v>
      </c>
      <c r="J7" s="80">
        <f>SUMIFS(G:G,D:D,D7,B:B,"Compra")-(SUMIFS(G:G,D:D,D7,B:B,"Venda"))</f>
        <v>22</v>
      </c>
      <c r="K7" s="81">
        <f>SUMIFS(G:G,D:D,D7,B:B,"Compra")-(SUMIFS(G:G,D:D,D7,B:B,"Venda"))</f>
        <v>22</v>
      </c>
      <c r="L7" s="32">
        <f t="shared" si="1"/>
        <v>2317.6999999999998</v>
      </c>
      <c r="M7" s="32">
        <f>IF(K7&lt;=0,0,IFERROR(ROUND(SUMIFS(I:I,D:D,D7,B:B,"Compra")/SUMIFS(G:G,D:D,D7,B:B,"Compra"),2),""))</f>
        <v>105.35</v>
      </c>
    </row>
    <row r="8" spans="2:13" ht="15.75" x14ac:dyDescent="0.25">
      <c r="B8" s="34" t="s">
        <v>1665</v>
      </c>
      <c r="C8" s="86">
        <v>44005</v>
      </c>
      <c r="D8" s="16" t="s">
        <v>84</v>
      </c>
      <c r="E8" s="12" t="str">
        <f>VLOOKUP(Tabela13[[#This Row],[Código]],'COTAÇÃO ATUAL'!C:F,4,0)</f>
        <v>FUNDO DE INVESTIMENTO IMOBILIARIO - VBI LOGISTICO</v>
      </c>
      <c r="F8" s="12" t="s">
        <v>1662</v>
      </c>
      <c r="G8" s="17">
        <v>2</v>
      </c>
      <c r="H8" s="11">
        <v>121.25</v>
      </c>
      <c r="I8" s="32">
        <f>Tabela13[[#This Row],[Quantidade]]*Tabela13[[#This Row],[Cotação na Compra ou Venda]]</f>
        <v>242.5</v>
      </c>
      <c r="J8" s="80">
        <f>SUMIFS(G:G,D:D,D8,B:B,"Compra")-(SUMIFS(G:G,D:D,D8,B:B,"Venda"))</f>
        <v>29</v>
      </c>
      <c r="K8" s="81">
        <f>SUMIFS(G:G,D:D,D8,B:B,"Compra")-(SUMIFS(G:G,D:D,D8,B:B,"Venda"))</f>
        <v>29</v>
      </c>
      <c r="L8" s="32">
        <f t="shared" ref="L8:L11" si="2">IF(K8&lt;=0,0,ROUND(M8*K8,2))</f>
        <v>3103.29</v>
      </c>
      <c r="M8" s="32">
        <f>IF(K8&lt;=0,0,IFERROR(ROUND(SUMIFS(I:I,D:D,D8,B:B,"Compra")/SUMIFS(G:G,D:D,D8,B:B,"Compra"),2),""))</f>
        <v>107.01</v>
      </c>
    </row>
    <row r="9" spans="2:13" ht="15.75" x14ac:dyDescent="0.25">
      <c r="B9" s="34" t="s">
        <v>1665</v>
      </c>
      <c r="C9" s="86">
        <v>44005</v>
      </c>
      <c r="D9" s="16" t="s">
        <v>150</v>
      </c>
      <c r="E9" s="12" t="str">
        <f>VLOOKUP(Tabela13[[#This Row],[Código]],'COTAÇÃO ATUAL'!C:F,4,0)</f>
        <v>VINCI LOGISTICA FUNDO DE INVESTIMENTO IMOBILIARIO</v>
      </c>
      <c r="F9" s="12" t="s">
        <v>1662</v>
      </c>
      <c r="G9" s="17">
        <v>2</v>
      </c>
      <c r="H9" s="11">
        <v>124</v>
      </c>
      <c r="I9" s="32">
        <f>Tabela13[[#This Row],[Quantidade]]*Tabela13[[#This Row],[Cotação na Compra ou Venda]]</f>
        <v>248</v>
      </c>
      <c r="J9" s="80">
        <f>SUMIFS(G:G,D:D,D9,B:B,"Compra")-(SUMIFS(G:G,D:D,D9,B:B,"Venda"))</f>
        <v>27</v>
      </c>
      <c r="K9" s="81">
        <f>SUMIFS(G:G,D:D,D9,B:B,"Compra")-(SUMIFS(G:G,D:D,D9,B:B,"Venda"))</f>
        <v>27</v>
      </c>
      <c r="L9" s="32">
        <f t="shared" si="2"/>
        <v>2935.17</v>
      </c>
      <c r="M9" s="32">
        <f>IF(K9&lt;=0,0,IFERROR(ROUND(SUMIFS(I:I,D:D,D9,B:B,"Compra")/SUMIFS(G:G,D:D,D9,B:B,"Compra"),2),""))</f>
        <v>108.71</v>
      </c>
    </row>
    <row r="10" spans="2:13" ht="15.75" x14ac:dyDescent="0.25">
      <c r="B10" s="34" t="s">
        <v>1665</v>
      </c>
      <c r="C10" s="86">
        <v>43991</v>
      </c>
      <c r="D10" s="16" t="s">
        <v>165</v>
      </c>
      <c r="E10" s="12" t="str">
        <f>VLOOKUP(Tabela13[[#This Row],[Código]],'COTAÇÃO ATUAL'!C:F,4,0)</f>
        <v>XP LOG FUNDO DE INVESTIMENTO IMOBILIARIO-FII</v>
      </c>
      <c r="F10" s="12" t="s">
        <v>1662</v>
      </c>
      <c r="G10" s="17">
        <v>1</v>
      </c>
      <c r="H10" s="11">
        <v>118.49</v>
      </c>
      <c r="I10" s="32">
        <f>Tabela13[[#This Row],[Quantidade]]*Tabela13[[#This Row],[Cotação na Compra ou Venda]]</f>
        <v>118.49</v>
      </c>
      <c r="J10" s="80">
        <f>SUMIFS(G:G,D:D,D10,B:B,"Compra")-(SUMIFS(G:G,D:D,D10,B:B,"Venda"))</f>
        <v>34</v>
      </c>
      <c r="K10" s="81">
        <f>SUMIFS(G:G,D:D,D10,B:B,"Compra")-(SUMIFS(G:G,D:D,D10,B:B,"Venda"))</f>
        <v>34</v>
      </c>
      <c r="L10" s="32">
        <f t="shared" si="2"/>
        <v>3825.68</v>
      </c>
      <c r="M10" s="32">
        <f>IF(K10&lt;=0,0,IFERROR(ROUND(SUMIFS(I:I,D:D,D10,B:B,"Compra")/SUMIFS(G:G,D:D,D10,B:B,"Compra"),2),""))</f>
        <v>112.52</v>
      </c>
    </row>
    <row r="11" spans="2:13" ht="15.75" x14ac:dyDescent="0.25">
      <c r="B11" s="34" t="s">
        <v>1665</v>
      </c>
      <c r="C11" s="84">
        <v>44005</v>
      </c>
      <c r="D11" s="16" t="s">
        <v>165</v>
      </c>
      <c r="E11" s="13" t="str">
        <f>VLOOKUP(Tabela13[[#This Row],[Código]],'COTAÇÃO ATUAL'!C:F,4,0)</f>
        <v>XP LOG FUNDO DE INVESTIMENTO IMOBILIARIO-FII</v>
      </c>
      <c r="F11" s="12" t="s">
        <v>1662</v>
      </c>
      <c r="G11" s="18">
        <v>2</v>
      </c>
      <c r="H11" s="14">
        <v>123.1</v>
      </c>
      <c r="I11" s="33">
        <f>Tabela13[[#This Row],[Quantidade]]*Tabela13[[#This Row],[Cotação na Compra ou Venda]]</f>
        <v>246.2</v>
      </c>
      <c r="J11" s="82">
        <f>SUMIFS(G:G,D:D,D11,B:B,"Compra")-(SUMIFS(G:G,D:D,D11,B:B,"Venda"))</f>
        <v>34</v>
      </c>
      <c r="K11" s="83">
        <f>SUMIFS(G:G,D:D,D11,B:B,"Compra")-(SUMIFS(G:G,D:D,D11,B:B,"Venda"))</f>
        <v>34</v>
      </c>
      <c r="L11" s="33">
        <f t="shared" si="2"/>
        <v>3825.68</v>
      </c>
      <c r="M11" s="33">
        <f>IF(K11&lt;=0,0,IFERROR(ROUND(SUMIFS(I:I,D:D,D11,B:B,"Compra")/SUMIFS(G:G,D:D,D11,B:B,"Compra"),2),""))</f>
        <v>112.52</v>
      </c>
    </row>
    <row r="12" spans="2:13" ht="15.75" x14ac:dyDescent="0.25">
      <c r="B12" s="34" t="s">
        <v>1665</v>
      </c>
      <c r="C12" s="86">
        <v>44014</v>
      </c>
      <c r="D12" s="16" t="s">
        <v>12</v>
      </c>
      <c r="E12" s="12" t="str">
        <f>VLOOKUP(Tabela13[[#This Row],[Código]],'COTAÇÃO ATUAL'!C:F,4,0)</f>
        <v>FI IMOBILIARIO FII BTG PACTUAL FUNDO DE FUNDOS</v>
      </c>
      <c r="F12" s="12" t="s">
        <v>1662</v>
      </c>
      <c r="G12" s="17">
        <v>3</v>
      </c>
      <c r="H12" s="11">
        <v>91.1</v>
      </c>
      <c r="I12" s="32">
        <f>Tabela13[[#This Row],[Quantidade]]*Tabela13[[#This Row],[Cotação na Compra ou Venda]]</f>
        <v>273.29999999999995</v>
      </c>
      <c r="J12" s="80">
        <f>SUMIFS(G:G,D:D,D12,B:B,"Compra")-(SUMIFS(G:G,D:D,D12,B:B,"Venda"))</f>
        <v>54</v>
      </c>
      <c r="K12" s="81">
        <f>SUMIFS(G:G,D:D,D12,B:B,"Compra")-(SUMIFS(G:G,D:D,D12,B:B,"Venda"))</f>
        <v>54</v>
      </c>
      <c r="L12" s="32">
        <f t="shared" ref="L12:L20" si="3">IF(K12&lt;=0,0,ROUND(M12*K12,2))</f>
        <v>4202.28</v>
      </c>
      <c r="M12" s="32">
        <f>IF(K12&lt;=0,0,IFERROR(ROUND(SUMIFS(I:I,D:D,D12,B:B,"Compra")/SUMIFS(G:G,D:D,D12,B:B,"Compra"),2),""))</f>
        <v>77.819999999999993</v>
      </c>
    </row>
    <row r="13" spans="2:13" ht="15.75" x14ac:dyDescent="0.25">
      <c r="B13" s="34" t="s">
        <v>1665</v>
      </c>
      <c r="C13" s="86">
        <v>44025</v>
      </c>
      <c r="D13" s="16" t="s">
        <v>12</v>
      </c>
      <c r="E13" s="12" t="str">
        <f>VLOOKUP(Tabela13[[#This Row],[Código]],'COTAÇÃO ATUAL'!C:F,4,0)</f>
        <v>FI IMOBILIARIO FII BTG PACTUAL FUNDO DE FUNDOS</v>
      </c>
      <c r="F13" s="12" t="s">
        <v>1662</v>
      </c>
      <c r="G13" s="17">
        <v>7</v>
      </c>
      <c r="H13" s="11">
        <v>90.05</v>
      </c>
      <c r="I13" s="32">
        <f>Tabela13[[#This Row],[Quantidade]]*Tabela13[[#This Row],[Cotação na Compra ou Venda]]</f>
        <v>630.35</v>
      </c>
      <c r="J13" s="80">
        <f>SUMIFS(G:G,D:D,D13,B:B,"Compra")-(SUMIFS(G:G,D:D,D13,B:B,"Venda"))</f>
        <v>54</v>
      </c>
      <c r="K13" s="81">
        <f>SUMIFS(G:G,D:D,D13,B:B,"Compra")-(SUMIFS(G:G,D:D,D13,B:B,"Venda"))</f>
        <v>54</v>
      </c>
      <c r="L13" s="32">
        <f t="shared" si="3"/>
        <v>4202.28</v>
      </c>
      <c r="M13" s="32">
        <f>IF(K13&lt;=0,0,IFERROR(ROUND(SUMIFS(I:I,D:D,D13,B:B,"Compra")/SUMIFS(G:G,D:D,D13,B:B,"Compra"),2),""))</f>
        <v>77.819999999999993</v>
      </c>
    </row>
    <row r="14" spans="2:13" ht="15.75" x14ac:dyDescent="0.25">
      <c r="B14" s="34" t="s">
        <v>1665</v>
      </c>
      <c r="C14" s="86">
        <v>44025</v>
      </c>
      <c r="D14" s="16" t="s">
        <v>62</v>
      </c>
      <c r="E14" s="12" t="str">
        <f>VLOOKUP(Tabela13[[#This Row],[Código]],'COTAÇÃO ATUAL'!C:F,4,0)</f>
        <v>CSHG LOGISTICA FND DE INVSTMNT IMBLR FII</v>
      </c>
      <c r="F14" s="12" t="s">
        <v>1662</v>
      </c>
      <c r="G14" s="17">
        <v>4</v>
      </c>
      <c r="H14" s="11">
        <v>174.255</v>
      </c>
      <c r="I14" s="32">
        <f>Tabela13[[#This Row],[Quantidade]]*Tabela13[[#This Row],[Cotação na Compra ou Venda]]</f>
        <v>697.02</v>
      </c>
      <c r="J14" s="80">
        <f>SUMIFS(G:G,D:D,D14,B:B,"Compra")-(SUMIFS(G:G,D:D,D14,B:B,"Venda"))</f>
        <v>21</v>
      </c>
      <c r="K14" s="81">
        <f>SUMIFS(G:G,D:D,D14,B:B,"Compra")-(SUMIFS(G:G,D:D,D14,B:B,"Venda"))</f>
        <v>21</v>
      </c>
      <c r="L14" s="32">
        <f t="shared" si="3"/>
        <v>3494.19</v>
      </c>
      <c r="M14" s="32">
        <f>IF(K14&lt;=0,0,IFERROR(ROUND(SUMIFS(I:I,D:D,D14,B:B,"Compra")/SUMIFS(G:G,D:D,D14,B:B,"Compra"),2),""))</f>
        <v>166.39</v>
      </c>
    </row>
    <row r="15" spans="2:13" ht="15.75" x14ac:dyDescent="0.25">
      <c r="B15" s="34" t="s">
        <v>1665</v>
      </c>
      <c r="C15" s="86">
        <v>44014</v>
      </c>
      <c r="D15" s="16" t="s">
        <v>84</v>
      </c>
      <c r="E15" s="12" t="str">
        <f>VLOOKUP(Tabela13[[#This Row],[Código]],'COTAÇÃO ATUAL'!C:F,4,0)</f>
        <v>FUNDO DE INVESTIMENTO IMOBILIARIO - VBI LOGISTICO</v>
      </c>
      <c r="F15" s="12" t="s">
        <v>1662</v>
      </c>
      <c r="G15" s="17">
        <v>6</v>
      </c>
      <c r="H15" s="11">
        <v>125.69</v>
      </c>
      <c r="I15" s="32">
        <f>Tabela13[[#This Row],[Quantidade]]*Tabela13[[#This Row],[Cotação na Compra ou Venda]]</f>
        <v>754.14</v>
      </c>
      <c r="J15" s="80">
        <f>SUMIFS(G:G,D:D,D15,B:B,"Compra")-(SUMIFS(G:G,D:D,D15,B:B,"Venda"))</f>
        <v>29</v>
      </c>
      <c r="K15" s="81">
        <f>SUMIFS(G:G,D:D,D15,B:B,"Compra")-(SUMIFS(G:G,D:D,D15,B:B,"Venda"))</f>
        <v>29</v>
      </c>
      <c r="L15" s="32">
        <f t="shared" si="3"/>
        <v>3103.29</v>
      </c>
      <c r="M15" s="32">
        <f>IF(K15&lt;=0,0,IFERROR(ROUND(SUMIFS(I:I,D:D,D15,B:B,"Compra")/SUMIFS(G:G,D:D,D15,B:B,"Compra"),2),""))</f>
        <v>107.01</v>
      </c>
    </row>
    <row r="16" spans="2:13" ht="15.75" x14ac:dyDescent="0.25">
      <c r="B16" s="34" t="s">
        <v>1665</v>
      </c>
      <c r="C16" s="86">
        <v>44014</v>
      </c>
      <c r="D16" s="16" t="s">
        <v>150</v>
      </c>
      <c r="E16" s="12" t="str">
        <f>VLOOKUP(Tabela13[[#This Row],[Código]],'COTAÇÃO ATUAL'!C:F,4,0)</f>
        <v>VINCI LOGISTICA FUNDO DE INVESTIMENTO IMOBILIARIO</v>
      </c>
      <c r="F16" s="12" t="s">
        <v>1662</v>
      </c>
      <c r="G16" s="17">
        <v>4</v>
      </c>
      <c r="H16" s="11">
        <v>130.38999999999999</v>
      </c>
      <c r="I16" s="32">
        <f>Tabela13[[#This Row],[Quantidade]]*Tabela13[[#This Row],[Cotação na Compra ou Venda]]</f>
        <v>521.55999999999995</v>
      </c>
      <c r="J16" s="80">
        <f>SUMIFS(G:G,D:D,D16,B:B,"Compra")-(SUMIFS(G:G,D:D,D16,B:B,"Venda"))</f>
        <v>27</v>
      </c>
      <c r="K16" s="81">
        <f>SUMIFS(G:G,D:D,D16,B:B,"Compra")-(SUMIFS(G:G,D:D,D16,B:B,"Venda"))</f>
        <v>27</v>
      </c>
      <c r="L16" s="32">
        <f t="shared" si="3"/>
        <v>2935.17</v>
      </c>
      <c r="M16" s="32">
        <f>IF(K16&lt;=0,0,IFERROR(ROUND(SUMIFS(I:I,D:D,D16,B:B,"Compra")/SUMIFS(G:G,D:D,D16,B:B,"Compra"),2),""))</f>
        <v>108.71</v>
      </c>
    </row>
    <row r="17" spans="2:13" ht="15.75" x14ac:dyDescent="0.25">
      <c r="B17" s="34" t="s">
        <v>1665</v>
      </c>
      <c r="C17" s="86">
        <v>44025</v>
      </c>
      <c r="D17" s="16" t="s">
        <v>150</v>
      </c>
      <c r="E17" s="12" t="str">
        <f>VLOOKUP(Tabela13[[#This Row],[Código]],'COTAÇÃO ATUAL'!C:F,4,0)</f>
        <v>VINCI LOGISTICA FUNDO DE INVESTIMENTO IMOBILIARIO</v>
      </c>
      <c r="F17" s="12" t="s">
        <v>1662</v>
      </c>
      <c r="G17" s="17">
        <v>2</v>
      </c>
      <c r="H17" s="11">
        <v>121.88</v>
      </c>
      <c r="I17" s="32">
        <f>Tabela13[[#This Row],[Quantidade]]*Tabela13[[#This Row],[Cotação na Compra ou Venda]]</f>
        <v>243.76</v>
      </c>
      <c r="J17" s="80">
        <f>SUMIFS(G:G,D:D,D17,B:B,"Compra")-(SUMIFS(G:G,D:D,D17,B:B,"Venda"))</f>
        <v>27</v>
      </c>
      <c r="K17" s="81">
        <f>SUMIFS(G:G,D:D,D17,B:B,"Compra")-(SUMIFS(G:G,D:D,D17,B:B,"Venda"))</f>
        <v>27</v>
      </c>
      <c r="L17" s="32">
        <f t="shared" si="3"/>
        <v>2935.17</v>
      </c>
      <c r="M17" s="32">
        <f>IF(K17&lt;=0,0,IFERROR(ROUND(SUMIFS(I:I,D:D,D17,B:B,"Compra")/SUMIFS(G:G,D:D,D17,B:B,"Compra"),2),""))</f>
        <v>108.71</v>
      </c>
    </row>
    <row r="18" spans="2:13" ht="15.75" x14ac:dyDescent="0.25">
      <c r="B18" s="34" t="s">
        <v>1665</v>
      </c>
      <c r="C18" s="86">
        <v>44025</v>
      </c>
      <c r="D18" s="16" t="s">
        <v>151</v>
      </c>
      <c r="E18" s="12" t="str">
        <f>VLOOKUP(Tabela13[[#This Row],[Código]],'COTAÇÃO ATUAL'!C:F,4,0)</f>
        <v>VINCI OFFICES FDO INV IMOB - FII VINC COR</v>
      </c>
      <c r="F18" s="12" t="s">
        <v>1662</v>
      </c>
      <c r="G18" s="17">
        <v>5</v>
      </c>
      <c r="H18" s="11">
        <v>60.54</v>
      </c>
      <c r="I18" s="32">
        <f>Tabela13[[#This Row],[Quantidade]]*Tabela13[[#This Row],[Cotação na Compra ou Venda]]</f>
        <v>302.7</v>
      </c>
      <c r="J18" s="80">
        <f>SUMIFS(G:G,D:D,D18,B:B,"Compra")-(SUMIFS(G:G,D:D,D18,B:B,"Venda"))</f>
        <v>60</v>
      </c>
      <c r="K18" s="81">
        <f>SUMIFS(G:G,D:D,D18,B:B,"Compra")-(SUMIFS(G:G,D:D,D18,B:B,"Venda"))</f>
        <v>60</v>
      </c>
      <c r="L18" s="32">
        <f t="shared" si="3"/>
        <v>3229.8</v>
      </c>
      <c r="M18" s="32">
        <f>IF(K18&lt;=0,0,IFERROR(ROUND(SUMIFS(I:I,D:D,D18,B:B,"Compra")/SUMIFS(G:G,D:D,D18,B:B,"Compra"),2),""))</f>
        <v>53.83</v>
      </c>
    </row>
    <row r="19" spans="2:13" ht="15.75" x14ac:dyDescent="0.25">
      <c r="B19" s="34" t="s">
        <v>1665</v>
      </c>
      <c r="C19" s="86">
        <v>44027</v>
      </c>
      <c r="D19" s="16" t="s">
        <v>151</v>
      </c>
      <c r="E19" s="12" t="str">
        <f>VLOOKUP(Tabela13[[#This Row],[Código]],'COTAÇÃO ATUAL'!C:F,4,0)</f>
        <v>VINCI OFFICES FDO INV IMOB - FII VINC COR</v>
      </c>
      <c r="F19" s="12" t="s">
        <v>1662</v>
      </c>
      <c r="G19" s="17">
        <v>1</v>
      </c>
      <c r="H19" s="11">
        <v>60.59</v>
      </c>
      <c r="I19" s="32">
        <f>Tabela13[[#This Row],[Quantidade]]*Tabela13[[#This Row],[Cotação na Compra ou Venda]]</f>
        <v>60.59</v>
      </c>
      <c r="J19" s="80">
        <f>SUMIFS(G:G,D:D,D19,B:B,"Compra")-(SUMIFS(G:G,D:D,D19,B:B,"Venda"))</f>
        <v>60</v>
      </c>
      <c r="K19" s="81">
        <f>SUMIFS(G:G,D:D,D19,B:B,"Compra")-(SUMIFS(G:G,D:D,D19,B:B,"Venda"))</f>
        <v>60</v>
      </c>
      <c r="L19" s="32">
        <f t="shared" si="3"/>
        <v>3229.8</v>
      </c>
      <c r="M19" s="32">
        <f>IF(K19&lt;=0,0,IFERROR(ROUND(SUMIFS(I:I,D:D,D19,B:B,"Compra")/SUMIFS(G:G,D:D,D19,B:B,"Compra"),2),""))</f>
        <v>53.83</v>
      </c>
    </row>
    <row r="20" spans="2:13" ht="15.75" x14ac:dyDescent="0.25">
      <c r="B20" s="34" t="s">
        <v>1665</v>
      </c>
      <c r="C20" s="84">
        <v>44014</v>
      </c>
      <c r="D20" s="16" t="s">
        <v>165</v>
      </c>
      <c r="E20" s="13" t="str">
        <f>VLOOKUP(Tabela13[[#This Row],[Código]],'COTAÇÃO ATUAL'!C:F,4,0)</f>
        <v>XP LOG FUNDO DE INVESTIMENTO IMOBILIARIO-FII</v>
      </c>
      <c r="F20" s="12" t="s">
        <v>1662</v>
      </c>
      <c r="G20" s="18">
        <v>5</v>
      </c>
      <c r="H20" s="14">
        <v>130.44999999999999</v>
      </c>
      <c r="I20" s="33">
        <f>Tabela13[[#This Row],[Quantidade]]*Tabela13[[#This Row],[Cotação na Compra ou Venda]]</f>
        <v>652.25</v>
      </c>
      <c r="J20" s="82">
        <f>SUMIFS(G:G,D:D,D20,B:B,"Compra")-(SUMIFS(G:G,D:D,D20,B:B,"Venda"))</f>
        <v>34</v>
      </c>
      <c r="K20" s="83">
        <f>SUMIFS(G:G,D:D,D20,B:B,"Compra")-(SUMIFS(G:G,D:D,D20,B:B,"Venda"))</f>
        <v>34</v>
      </c>
      <c r="L20" s="33">
        <f t="shared" si="3"/>
        <v>3825.68</v>
      </c>
      <c r="M20" s="33">
        <f>IF(K20&lt;=0,0,IFERROR(ROUND(SUMIFS(I:I,D:D,D20,B:B,"Compra")/SUMIFS(G:G,D:D,D20,B:B,"Compra"),2),""))</f>
        <v>112.52</v>
      </c>
    </row>
    <row r="21" spans="2:13" ht="15.75" x14ac:dyDescent="0.25">
      <c r="B21" s="34" t="s">
        <v>1665</v>
      </c>
      <c r="C21" s="86">
        <v>44055</v>
      </c>
      <c r="D21" s="16" t="s">
        <v>80</v>
      </c>
      <c r="E21" s="12" t="str">
        <f>VLOOKUP(Tabela13[[#This Row],[Código]],'COTAÇÃO ATUAL'!C:F,4,0)</f>
        <v>KINEA RENDA IMOBILIARIA FII</v>
      </c>
      <c r="F21" s="12" t="s">
        <v>1662</v>
      </c>
      <c r="G21" s="17">
        <v>8</v>
      </c>
      <c r="H21" s="14">
        <v>159.91800000000001</v>
      </c>
      <c r="I21" s="32">
        <f>Tabela13[[#This Row],[Quantidade]]*Tabela13[[#This Row],[Cotação na Compra ou Venda]]</f>
        <v>1279.3440000000001</v>
      </c>
      <c r="J21" s="80">
        <f>SUMIFS(G:G,D:D,D21,B:B,"Compra")-(SUMIFS(G:G,D:D,D21,B:B,"Venda"))</f>
        <v>30</v>
      </c>
      <c r="K21" s="81">
        <f>SUMIFS(G:G,D:D,D21,B:B,"Compra")-(SUMIFS(G:G,D:D,D21,B:B,"Venda"))</f>
        <v>30</v>
      </c>
      <c r="L21" s="32">
        <f t="shared" ref="L21:L22" si="4">IF(K21&lt;=0,0,ROUND(M21*K21,2))</f>
        <v>4487.1000000000004</v>
      </c>
      <c r="M21" s="32">
        <f>IF(K21&lt;=0,0,IFERROR(ROUND(SUMIFS(I:I,D:D,D21,B:B,"Compra")/SUMIFS(G:G,D:D,D21,B:B,"Compra"),2),""))</f>
        <v>149.57</v>
      </c>
    </row>
    <row r="22" spans="2:13" ht="15.75" x14ac:dyDescent="0.25">
      <c r="B22" s="34" t="s">
        <v>1665</v>
      </c>
      <c r="C22" s="84">
        <v>44074</v>
      </c>
      <c r="D22" s="15" t="s">
        <v>94</v>
      </c>
      <c r="E22" s="13" t="str">
        <f>VLOOKUP(Tabela13[[#This Row],[Código]],'COTAÇÃO ATUAL'!C:F,4,0)</f>
        <v>MAXI RENDA FUNDO DE INVESTIMENTO IMOBILIARIO - FII</v>
      </c>
      <c r="F22" s="12" t="s">
        <v>1662</v>
      </c>
      <c r="G22" s="18">
        <v>10</v>
      </c>
      <c r="H22" s="14">
        <v>10.67</v>
      </c>
      <c r="I22" s="33">
        <f>Tabela13[[#This Row],[Quantidade]]*Tabela13[[#This Row],[Cotação na Compra ou Venda]]</f>
        <v>106.7</v>
      </c>
      <c r="J22" s="82">
        <f>SUMIFS(G:G,D:D,D22,B:B,"Compra")-(SUMIFS(G:G,D:D,D22,B:B,"Venda"))</f>
        <v>233</v>
      </c>
      <c r="K22" s="83">
        <f>SUMIFS(G:G,D:D,D22,B:B,"Compra")-(SUMIFS(G:G,D:D,D22,B:B,"Venda"))</f>
        <v>233</v>
      </c>
      <c r="L22" s="33">
        <f t="shared" si="4"/>
        <v>2360.29</v>
      </c>
      <c r="M22" s="33">
        <f>IF(K22&lt;=0,0,IFERROR(ROUND(SUMIFS(I:I,D:D,D22,B:B,"Compra")/SUMIFS(G:G,D:D,D22,B:B,"Compra"),2),""))</f>
        <v>10.130000000000001</v>
      </c>
    </row>
    <row r="23" spans="2:13" ht="15.75" x14ac:dyDescent="0.25">
      <c r="B23" s="34" t="s">
        <v>1665</v>
      </c>
      <c r="C23" s="84">
        <v>44095</v>
      </c>
      <c r="D23" s="16" t="s">
        <v>151</v>
      </c>
      <c r="E23" s="13" t="str">
        <f>VLOOKUP(Tabela13[[#This Row],[Código]],'COTAÇÃO ATUAL'!C:F,4,0)</f>
        <v>VINCI OFFICES FDO INV IMOB - FII VINC COR</v>
      </c>
      <c r="F23" s="12" t="s">
        <v>1662</v>
      </c>
      <c r="G23" s="13">
        <v>1</v>
      </c>
      <c r="H23" s="14">
        <v>58.94</v>
      </c>
      <c r="I23" s="33">
        <f>Tabela13[[#This Row],[Quantidade]]*Tabela13[[#This Row],[Cotação na Compra ou Venda]]</f>
        <v>58.94</v>
      </c>
      <c r="J23" s="82">
        <f>SUMIFS(G:G,D:D,D23,B:B,"Compra")-(SUMIFS(G:G,D:D,D23,B:B,"Venda"))</f>
        <v>60</v>
      </c>
      <c r="K23" s="83">
        <f>SUMIFS(G:G,D:D,D23,B:B,"Compra")-(SUMIFS(G:G,D:D,D23,B:B,"Venda"))</f>
        <v>60</v>
      </c>
      <c r="L23" s="33">
        <f t="shared" ref="L23" si="5">IF(K23&lt;=0,0,ROUND(M23*K23,2))</f>
        <v>3229.8</v>
      </c>
      <c r="M23" s="33">
        <f>IF(K23&lt;=0,0,IFERROR(ROUND(SUMIFS(I:I,D:D,D23,B:B,"Compra")/SUMIFS(G:G,D:D,D23,B:B,"Compra"),2),""))</f>
        <v>53.83</v>
      </c>
    </row>
    <row r="24" spans="2:13" ht="15.75" x14ac:dyDescent="0.25">
      <c r="B24" s="34" t="s">
        <v>1665</v>
      </c>
      <c r="C24" s="86">
        <v>44119</v>
      </c>
      <c r="D24" s="16" t="s">
        <v>20</v>
      </c>
      <c r="E24" s="12" t="str">
        <f>VLOOKUP(Tabela13[[#This Row],[Código]],'COTAÇÃO ATUAL'!C:F,4,0)</f>
        <v>FII BTG PACTUAL CORPORATE OFFICE FUND</v>
      </c>
      <c r="F24" s="12" t="s">
        <v>1662</v>
      </c>
      <c r="G24" s="12">
        <v>3</v>
      </c>
      <c r="H24" s="11">
        <v>90.83</v>
      </c>
      <c r="I24" s="32">
        <f>Tabela13[[#This Row],[Quantidade]]*Tabela13[[#This Row],[Cotação na Compra ou Venda]]</f>
        <v>272.49</v>
      </c>
      <c r="J24" s="80">
        <f>SUMIFS(G:G,D:D,D24,B:B,"Compra")-(SUMIFS(G:G,D:D,D24,B:B,"Venda"))</f>
        <v>53</v>
      </c>
      <c r="K24" s="81">
        <f>SUMIFS(G:G,D:D,D24,B:B,"Compra")-(SUMIFS(G:G,D:D,D24,B:B,"Venda"))</f>
        <v>53</v>
      </c>
      <c r="L24" s="32">
        <f t="shared" ref="L24:L28" si="6">IF(K24&lt;=0,0,ROUND(M24*K24,2))</f>
        <v>3941.61</v>
      </c>
      <c r="M24" s="32">
        <f>IF(K24&lt;=0,0,IFERROR(ROUND(SUMIFS(I:I,D:D,D24,B:B,"Compra")/SUMIFS(G:G,D:D,D24,B:B,"Compra"),2),""))</f>
        <v>74.37</v>
      </c>
    </row>
    <row r="25" spans="2:13" ht="15.75" x14ac:dyDescent="0.25">
      <c r="B25" s="34" t="s">
        <v>1665</v>
      </c>
      <c r="C25" s="86">
        <v>44119</v>
      </c>
      <c r="D25" s="16" t="s">
        <v>64</v>
      </c>
      <c r="E25" s="12" t="str">
        <f>VLOOKUP(Tabela13[[#This Row],[Código]],'COTAÇÃO ATUAL'!C:F,4,0)</f>
        <v>CSHG REAL ESTATE FI IMOBILIARIO-FII</v>
      </c>
      <c r="F25" s="12" t="s">
        <v>1662</v>
      </c>
      <c r="G25" s="12">
        <v>3</v>
      </c>
      <c r="H25" s="11">
        <v>151.6</v>
      </c>
      <c r="I25" s="32">
        <f>Tabela13[[#This Row],[Quantidade]]*Tabela13[[#This Row],[Cotação na Compra ou Venda]]</f>
        <v>454.79999999999995</v>
      </c>
      <c r="J25" s="80">
        <f>SUMIFS(G:G,D:D,D25,B:B,"Compra")-(SUMIFS(G:G,D:D,D25,B:B,"Venda"))</f>
        <v>28</v>
      </c>
      <c r="K25" s="81">
        <f>SUMIFS(G:G,D:D,D25,B:B,"Compra")-(SUMIFS(G:G,D:D,D25,B:B,"Venda"))</f>
        <v>28</v>
      </c>
      <c r="L25" s="32">
        <f t="shared" si="6"/>
        <v>3897.88</v>
      </c>
      <c r="M25" s="32">
        <f>IF(K25&lt;=0,0,IFERROR(ROUND(SUMIFS(I:I,D:D,D25,B:B,"Compra")/SUMIFS(G:G,D:D,D25,B:B,"Compra"),2),""))</f>
        <v>139.21</v>
      </c>
    </row>
    <row r="26" spans="2:13" ht="15.75" x14ac:dyDescent="0.25">
      <c r="B26" s="34" t="s">
        <v>1665</v>
      </c>
      <c r="C26" s="86">
        <v>44119</v>
      </c>
      <c r="D26" s="16" t="s">
        <v>65</v>
      </c>
      <c r="E26" s="12" t="str">
        <f>VLOOKUP(Tabela13[[#This Row],[Código]],'COTAÇÃO ATUAL'!C:F,4,0)</f>
        <v>CSHG RENDA URBANA-FI IMOBILIARIO-FII</v>
      </c>
      <c r="F26" s="12" t="s">
        <v>1662</v>
      </c>
      <c r="G26" s="12">
        <v>2</v>
      </c>
      <c r="H26" s="11">
        <v>126.8</v>
      </c>
      <c r="I26" s="32">
        <f>Tabela13[[#This Row],[Quantidade]]*Tabela13[[#This Row],[Cotação na Compra ou Venda]]</f>
        <v>253.6</v>
      </c>
      <c r="J26" s="80">
        <f>SUMIFS(G:G,D:D,D26,B:B,"Compra")-(SUMIFS(G:G,D:D,D26,B:B,"Venda"))</f>
        <v>24</v>
      </c>
      <c r="K26" s="81">
        <f>SUMIFS(G:G,D:D,D26,B:B,"Compra")-(SUMIFS(G:G,D:D,D26,B:B,"Venda"))</f>
        <v>24</v>
      </c>
      <c r="L26" s="32">
        <f t="shared" si="6"/>
        <v>2844.96</v>
      </c>
      <c r="M26" s="32">
        <f>IF(K26&lt;=0,0,IFERROR(ROUND(SUMIFS(I:I,D:D,D26,B:B,"Compra")/SUMIFS(G:G,D:D,D26,B:B,"Compra"),2),""))</f>
        <v>118.54</v>
      </c>
    </row>
    <row r="27" spans="2:13" ht="15.75" x14ac:dyDescent="0.25">
      <c r="B27" s="34" t="s">
        <v>1665</v>
      </c>
      <c r="C27" s="86">
        <v>44127</v>
      </c>
      <c r="D27" s="15" t="s">
        <v>94</v>
      </c>
      <c r="E27" s="12" t="str">
        <f>VLOOKUP(Tabela13[[#This Row],[Código]],'COTAÇÃO ATUAL'!C:F,4,0)</f>
        <v>MAXI RENDA FUNDO DE INVESTIMENTO IMOBILIARIO - FII</v>
      </c>
      <c r="F27" s="12" t="s">
        <v>1662</v>
      </c>
      <c r="G27" s="12">
        <v>1</v>
      </c>
      <c r="H27" s="11">
        <v>10.67</v>
      </c>
      <c r="I27" s="32">
        <f>Tabela13[[#This Row],[Quantidade]]*Tabela13[[#This Row],[Cotação na Compra ou Venda]]</f>
        <v>10.67</v>
      </c>
      <c r="J27" s="80">
        <f>SUMIFS(G:G,D:D,D27,B:B,"Compra")-(SUMIFS(G:G,D:D,D27,B:B,"Venda"))</f>
        <v>233</v>
      </c>
      <c r="K27" s="81">
        <f>SUMIFS(G:G,D:D,D27,B:B,"Compra")-(SUMIFS(G:G,D:D,D27,B:B,"Venda"))</f>
        <v>233</v>
      </c>
      <c r="L27" s="32">
        <f t="shared" si="6"/>
        <v>2360.29</v>
      </c>
      <c r="M27" s="32">
        <f>IF(K27&lt;=0,0,IFERROR(ROUND(SUMIFS(I:I,D:D,D27,B:B,"Compra")/SUMIFS(G:G,D:D,D27,B:B,"Compra"),2),""))</f>
        <v>10.130000000000001</v>
      </c>
    </row>
    <row r="28" spans="2:13" ht="15.75" x14ac:dyDescent="0.25">
      <c r="B28" s="34" t="s">
        <v>1665</v>
      </c>
      <c r="C28" s="84">
        <v>44119</v>
      </c>
      <c r="D28" s="15" t="s">
        <v>124</v>
      </c>
      <c r="E28" s="13" t="str">
        <f>VLOOKUP(Tabela13[[#This Row],[Código]],'COTAÇÃO ATUAL'!C:F,4,0)</f>
        <v>FII RIO BRAVO RENDA VAREJO-FII</v>
      </c>
      <c r="F28" s="12" t="s">
        <v>1662</v>
      </c>
      <c r="G28" s="13">
        <v>3</v>
      </c>
      <c r="H28" s="14">
        <v>120.11</v>
      </c>
      <c r="I28" s="33">
        <f>Tabela13[[#This Row],[Quantidade]]*Tabela13[[#This Row],[Cotação na Compra ou Venda]]</f>
        <v>360.33</v>
      </c>
      <c r="J28" s="82">
        <f>SUMIFS(G:G,D:D,D28,B:B,"Compra")-(SUMIFS(G:G,D:D,D28,B:B,"Venda"))</f>
        <v>31</v>
      </c>
      <c r="K28" s="83">
        <f>SUMIFS(G:G,D:D,D28,B:B,"Compra")-(SUMIFS(G:G,D:D,D28,B:B,"Venda"))</f>
        <v>31</v>
      </c>
      <c r="L28" s="33">
        <f t="shared" si="6"/>
        <v>3304.6</v>
      </c>
      <c r="M28" s="33">
        <f>IF(K28&lt;=0,0,IFERROR(ROUND(SUMIFS(I:I,D:D,D28,B:B,"Compra")/SUMIFS(G:G,D:D,D28,B:B,"Compra"),2),""))</f>
        <v>106.6</v>
      </c>
    </row>
    <row r="29" spans="2:13" ht="15.75" x14ac:dyDescent="0.25">
      <c r="B29" s="34" t="s">
        <v>1665</v>
      </c>
      <c r="C29" s="86">
        <v>44151</v>
      </c>
      <c r="D29" s="16" t="s">
        <v>12</v>
      </c>
      <c r="E29" s="12" t="str">
        <f>VLOOKUP(Tabela13[[#This Row],[Código]],'COTAÇÃO ATUAL'!C:F,4,0)</f>
        <v>FI IMOBILIARIO FII BTG PACTUAL FUNDO DE FUNDOS</v>
      </c>
      <c r="F29" s="12" t="s">
        <v>1662</v>
      </c>
      <c r="G29" s="12">
        <v>5</v>
      </c>
      <c r="H29" s="11">
        <v>90</v>
      </c>
      <c r="I29" s="32">
        <f>Tabela13[[#This Row],[Quantidade]]*Tabela13[[#This Row],[Cotação na Compra ou Venda]]</f>
        <v>450</v>
      </c>
      <c r="J29" s="80">
        <f>SUMIFS(G:G,D:D,D29,B:B,"Compra")-(SUMIFS(G:G,D:D,D29,B:B,"Venda"))</f>
        <v>54</v>
      </c>
      <c r="K29" s="81">
        <f>SUMIFS(G:G,D:D,D29,B:B,"Compra")-(SUMIFS(G:G,D:D,D29,B:B,"Venda"))</f>
        <v>54</v>
      </c>
      <c r="L29" s="32">
        <f t="shared" ref="L29:L42" si="7">IF(K29&lt;=0,0,ROUND(M29*K29,2))</f>
        <v>4202.28</v>
      </c>
      <c r="M29" s="32">
        <f>IF(K29&lt;=0,0,IFERROR(ROUND(SUMIFS(I:I,D:D,D29,B:B,"Compra")/SUMIFS(G:G,D:D,D29,B:B,"Compra"),2),""))</f>
        <v>77.819999999999993</v>
      </c>
    </row>
    <row r="30" spans="2:13" ht="15.75" x14ac:dyDescent="0.25">
      <c r="B30" s="34" t="s">
        <v>1665</v>
      </c>
      <c r="C30" s="86">
        <v>44165</v>
      </c>
      <c r="D30" s="16" t="s">
        <v>12</v>
      </c>
      <c r="E30" s="12" t="str">
        <f>VLOOKUP(Tabela13[[#This Row],[Código]],'COTAÇÃO ATUAL'!C:F,4,0)</f>
        <v>FI IMOBILIARIO FII BTG PACTUAL FUNDO DE FUNDOS</v>
      </c>
      <c r="F30" s="12" t="s">
        <v>1662</v>
      </c>
      <c r="G30" s="12">
        <v>6</v>
      </c>
      <c r="H30" s="11">
        <v>89.99</v>
      </c>
      <c r="I30" s="32">
        <f>Tabela13[[#This Row],[Quantidade]]*Tabela13[[#This Row],[Cotação na Compra ou Venda]]</f>
        <v>539.93999999999994</v>
      </c>
      <c r="J30" s="80">
        <f>SUMIFS(G:G,D:D,D30,B:B,"Compra")-(SUMIFS(G:G,D:D,D30,B:B,"Venda"))</f>
        <v>54</v>
      </c>
      <c r="K30" s="81">
        <f>SUMIFS(G:G,D:D,D30,B:B,"Compra")-(SUMIFS(G:G,D:D,D30,B:B,"Venda"))</f>
        <v>54</v>
      </c>
      <c r="L30" s="32">
        <f t="shared" si="7"/>
        <v>4202.28</v>
      </c>
      <c r="M30" s="32">
        <f>IF(K30&lt;=0,0,IFERROR(ROUND(SUMIFS(I:I,D:D,D30,B:B,"Compra")/SUMIFS(G:G,D:D,D30,B:B,"Compra"),2),""))</f>
        <v>77.819999999999993</v>
      </c>
    </row>
    <row r="31" spans="2:13" ht="15.75" x14ac:dyDescent="0.25">
      <c r="B31" s="34" t="s">
        <v>1665</v>
      </c>
      <c r="C31" s="86">
        <v>44138</v>
      </c>
      <c r="D31" s="16" t="s">
        <v>20</v>
      </c>
      <c r="E31" s="12" t="str">
        <f>VLOOKUP(Tabela13[[#This Row],[Código]],'COTAÇÃO ATUAL'!C:F,4,0)</f>
        <v>FII BTG PACTUAL CORPORATE OFFICE FUND</v>
      </c>
      <c r="F31" s="12" t="s">
        <v>1662</v>
      </c>
      <c r="G31" s="12">
        <v>3</v>
      </c>
      <c r="H31" s="11">
        <v>87.08</v>
      </c>
      <c r="I31" s="32">
        <f>Tabela13[[#This Row],[Quantidade]]*Tabela13[[#This Row],[Cotação na Compra ou Venda]]</f>
        <v>261.24</v>
      </c>
      <c r="J31" s="80">
        <f>SUMIFS(G:G,D:D,D31,B:B,"Compra")-(SUMIFS(G:G,D:D,D31,B:B,"Venda"))</f>
        <v>53</v>
      </c>
      <c r="K31" s="81">
        <f>SUMIFS(G:G,D:D,D31,B:B,"Compra")-(SUMIFS(G:G,D:D,D31,B:B,"Venda"))</f>
        <v>53</v>
      </c>
      <c r="L31" s="32">
        <f t="shared" si="7"/>
        <v>3941.61</v>
      </c>
      <c r="M31" s="32">
        <f>IF(K31&lt;=0,0,IFERROR(ROUND(SUMIFS(I:I,D:D,D31,B:B,"Compra")/SUMIFS(G:G,D:D,D31,B:B,"Compra"),2),""))</f>
        <v>74.37</v>
      </c>
    </row>
    <row r="32" spans="2:13" ht="15.75" x14ac:dyDescent="0.25">
      <c r="B32" s="34" t="s">
        <v>1665</v>
      </c>
      <c r="C32" s="86">
        <v>44151</v>
      </c>
      <c r="D32" s="16" t="s">
        <v>20</v>
      </c>
      <c r="E32" s="12" t="str">
        <f>VLOOKUP(Tabela13[[#This Row],[Código]],'COTAÇÃO ATUAL'!C:F,4,0)</f>
        <v>FII BTG PACTUAL CORPORATE OFFICE FUND</v>
      </c>
      <c r="F32" s="12" t="s">
        <v>1662</v>
      </c>
      <c r="G32" s="12">
        <v>3</v>
      </c>
      <c r="H32" s="11">
        <v>88.43</v>
      </c>
      <c r="I32" s="32">
        <f>Tabela13[[#This Row],[Quantidade]]*Tabela13[[#This Row],[Cotação na Compra ou Venda]]</f>
        <v>265.29000000000002</v>
      </c>
      <c r="J32" s="80">
        <f>SUMIFS(G:G,D:D,D32,B:B,"Compra")-(SUMIFS(G:G,D:D,D32,B:B,"Venda"))</f>
        <v>53</v>
      </c>
      <c r="K32" s="81">
        <f>SUMIFS(G:G,D:D,D32,B:B,"Compra")-(SUMIFS(G:G,D:D,D32,B:B,"Venda"))</f>
        <v>53</v>
      </c>
      <c r="L32" s="32">
        <f t="shared" si="7"/>
        <v>3941.61</v>
      </c>
      <c r="M32" s="32">
        <f>IF(K32&lt;=0,0,IFERROR(ROUND(SUMIFS(I:I,D:D,D32,B:B,"Compra")/SUMIFS(G:G,D:D,D32,B:B,"Compra"),2),""))</f>
        <v>74.37</v>
      </c>
    </row>
    <row r="33" spans="2:13" ht="15.75" x14ac:dyDescent="0.25">
      <c r="B33" s="34" t="s">
        <v>1665</v>
      </c>
      <c r="C33" s="86">
        <v>44165</v>
      </c>
      <c r="D33" s="16" t="s">
        <v>64</v>
      </c>
      <c r="E33" s="12" t="str">
        <f>VLOOKUP(Tabela13[[#This Row],[Código]],'COTAÇÃO ATUAL'!C:F,4,0)</f>
        <v>CSHG REAL ESTATE FI IMOBILIARIO-FII</v>
      </c>
      <c r="F33" s="12" t="s">
        <v>1662</v>
      </c>
      <c r="G33" s="12">
        <v>5</v>
      </c>
      <c r="H33" s="11">
        <v>149.97999999999999</v>
      </c>
      <c r="I33" s="32">
        <f>Tabela13[[#This Row],[Quantidade]]*Tabela13[[#This Row],[Cotação na Compra ou Venda]]</f>
        <v>749.9</v>
      </c>
      <c r="J33" s="80">
        <f>SUMIFS(G:G,D:D,D33,B:B,"Compra")-(SUMIFS(G:G,D:D,D33,B:B,"Venda"))</f>
        <v>28</v>
      </c>
      <c r="K33" s="81">
        <f>SUMIFS(G:G,D:D,D33,B:B,"Compra")-(SUMIFS(G:G,D:D,D33,B:B,"Venda"))</f>
        <v>28</v>
      </c>
      <c r="L33" s="32">
        <f t="shared" si="7"/>
        <v>3897.88</v>
      </c>
      <c r="M33" s="32">
        <f>IF(K33&lt;=0,0,IFERROR(ROUND(SUMIFS(I:I,D:D,D33,B:B,"Compra")/SUMIFS(G:G,D:D,D33,B:B,"Compra"),2),""))</f>
        <v>139.21</v>
      </c>
    </row>
    <row r="34" spans="2:13" ht="15.75" x14ac:dyDescent="0.25">
      <c r="B34" s="34" t="s">
        <v>1665</v>
      </c>
      <c r="C34" s="86">
        <v>44151</v>
      </c>
      <c r="D34" s="16" t="s">
        <v>65</v>
      </c>
      <c r="E34" s="12" t="str">
        <f>VLOOKUP(Tabela13[[#This Row],[Código]],'COTAÇÃO ATUAL'!C:F,4,0)</f>
        <v>CSHG RENDA URBANA-FI IMOBILIARIO-FII</v>
      </c>
      <c r="F34" s="12" t="s">
        <v>1662</v>
      </c>
      <c r="G34" s="12">
        <v>2</v>
      </c>
      <c r="H34" s="11">
        <v>127.95</v>
      </c>
      <c r="I34" s="32">
        <f>Tabela13[[#This Row],[Quantidade]]*Tabela13[[#This Row],[Cotação na Compra ou Venda]]</f>
        <v>255.9</v>
      </c>
      <c r="J34" s="80">
        <f>SUMIFS(G:G,D:D,D34,B:B,"Compra")-(SUMIFS(G:G,D:D,D34,B:B,"Venda"))</f>
        <v>24</v>
      </c>
      <c r="K34" s="81">
        <f>SUMIFS(G:G,D:D,D34,B:B,"Compra")-(SUMIFS(G:G,D:D,D34,B:B,"Venda"))</f>
        <v>24</v>
      </c>
      <c r="L34" s="32">
        <f t="shared" si="7"/>
        <v>2844.96</v>
      </c>
      <c r="M34" s="32">
        <f>IF(K34&lt;=0,0,IFERROR(ROUND(SUMIFS(I:I,D:D,D34,B:B,"Compra")/SUMIFS(G:G,D:D,D34,B:B,"Compra"),2),""))</f>
        <v>118.54</v>
      </c>
    </row>
    <row r="35" spans="2:13" ht="15.75" x14ac:dyDescent="0.25">
      <c r="B35" s="34" t="s">
        <v>1665</v>
      </c>
      <c r="C35" s="86">
        <v>44165</v>
      </c>
      <c r="D35" s="16" t="s">
        <v>65</v>
      </c>
      <c r="E35" s="12" t="str">
        <f>VLOOKUP(Tabela13[[#This Row],[Código]],'COTAÇÃO ATUAL'!C:F,4,0)</f>
        <v>CSHG RENDA URBANA-FI IMOBILIARIO-FII</v>
      </c>
      <c r="F35" s="12" t="s">
        <v>1662</v>
      </c>
      <c r="G35" s="12">
        <v>3</v>
      </c>
      <c r="H35" s="11">
        <v>128.05000000000001</v>
      </c>
      <c r="I35" s="32">
        <f>Tabela13[[#This Row],[Quantidade]]*Tabela13[[#This Row],[Cotação na Compra ou Venda]]</f>
        <v>384.15000000000003</v>
      </c>
      <c r="J35" s="80">
        <f>SUMIFS(G:G,D:D,D35,B:B,"Compra")-(SUMIFS(G:G,D:D,D35,B:B,"Venda"))</f>
        <v>24</v>
      </c>
      <c r="K35" s="81">
        <f>SUMIFS(G:G,D:D,D35,B:B,"Compra")-(SUMIFS(G:G,D:D,D35,B:B,"Venda"))</f>
        <v>24</v>
      </c>
      <c r="L35" s="32">
        <f t="shared" si="7"/>
        <v>2844.96</v>
      </c>
      <c r="M35" s="32">
        <f>IF(K35&lt;=0,0,IFERROR(ROUND(SUMIFS(I:I,D:D,D35,B:B,"Compra")/SUMIFS(G:G,D:D,D35,B:B,"Compra"),2),""))</f>
        <v>118.54</v>
      </c>
    </row>
    <row r="36" spans="2:13" ht="15.75" x14ac:dyDescent="0.25">
      <c r="B36" s="34" t="s">
        <v>1665</v>
      </c>
      <c r="C36" s="86">
        <v>44138</v>
      </c>
      <c r="D36" s="15" t="s">
        <v>94</v>
      </c>
      <c r="E36" s="12" t="str">
        <f>VLOOKUP(Tabela13[[#This Row],[Código]],'COTAÇÃO ATUAL'!C:F,4,0)</f>
        <v>MAXI RENDA FUNDO DE INVESTIMENTO IMOBILIARIO - FII</v>
      </c>
      <c r="F36" s="12" t="s">
        <v>1662</v>
      </c>
      <c r="G36" s="12">
        <v>7</v>
      </c>
      <c r="H36" s="11">
        <v>10.41</v>
      </c>
      <c r="I36" s="32">
        <f>Tabela13[[#This Row],[Quantidade]]*Tabela13[[#This Row],[Cotação na Compra ou Venda]]</f>
        <v>72.87</v>
      </c>
      <c r="J36" s="80">
        <f>SUMIFS(G:G,D:D,D36,B:B,"Compra")-(SUMIFS(G:G,D:D,D36,B:B,"Venda"))</f>
        <v>233</v>
      </c>
      <c r="K36" s="81">
        <f>SUMIFS(G:G,D:D,D36,B:B,"Compra")-(SUMIFS(G:G,D:D,D36,B:B,"Venda"))</f>
        <v>233</v>
      </c>
      <c r="L36" s="32">
        <f t="shared" si="7"/>
        <v>2360.29</v>
      </c>
      <c r="M36" s="32">
        <f>IF(K36&lt;=0,0,IFERROR(ROUND(SUMIFS(I:I,D:D,D36,B:B,"Compra")/SUMIFS(G:G,D:D,D36,B:B,"Compra"),2),""))</f>
        <v>10.130000000000001</v>
      </c>
    </row>
    <row r="37" spans="2:13" ht="15.75" x14ac:dyDescent="0.25">
      <c r="B37" s="34" t="s">
        <v>1665</v>
      </c>
      <c r="C37" s="86">
        <v>44139</v>
      </c>
      <c r="D37" s="15" t="s">
        <v>94</v>
      </c>
      <c r="E37" s="12" t="str">
        <f>VLOOKUP(Tabela13[[#This Row],[Código]],'COTAÇÃO ATUAL'!C:F,4,0)</f>
        <v>MAXI RENDA FUNDO DE INVESTIMENTO IMOBILIARIO - FII</v>
      </c>
      <c r="F37" s="12" t="s">
        <v>1662</v>
      </c>
      <c r="G37" s="12">
        <v>4</v>
      </c>
      <c r="H37" s="11">
        <v>10.45</v>
      </c>
      <c r="I37" s="32">
        <f>Tabela13[[#This Row],[Quantidade]]*Tabela13[[#This Row],[Cotação na Compra ou Venda]]</f>
        <v>41.8</v>
      </c>
      <c r="J37" s="80">
        <f>SUMIFS(G:G,D:D,D37,B:B,"Compra")-(SUMIFS(G:G,D:D,D37,B:B,"Venda"))</f>
        <v>233</v>
      </c>
      <c r="K37" s="81">
        <f>SUMIFS(G:G,D:D,D37,B:B,"Compra")-(SUMIFS(G:G,D:D,D37,B:B,"Venda"))</f>
        <v>233</v>
      </c>
      <c r="L37" s="32">
        <f t="shared" si="7"/>
        <v>2360.29</v>
      </c>
      <c r="M37" s="32">
        <f>IF(K37&lt;=0,0,IFERROR(ROUND(SUMIFS(I:I,D:D,D37,B:B,"Compra")/SUMIFS(G:G,D:D,D37,B:B,"Compra"),2),""))</f>
        <v>10.130000000000001</v>
      </c>
    </row>
    <row r="38" spans="2:13" ht="15.75" x14ac:dyDescent="0.25">
      <c r="B38" s="34" t="s">
        <v>1665</v>
      </c>
      <c r="C38" s="86">
        <v>44145</v>
      </c>
      <c r="D38" s="15" t="s">
        <v>94</v>
      </c>
      <c r="E38" s="12" t="str">
        <f>VLOOKUP(Tabela13[[#This Row],[Código]],'COTAÇÃO ATUAL'!C:F,4,0)</f>
        <v>MAXI RENDA FUNDO DE INVESTIMENTO IMOBILIARIO - FII</v>
      </c>
      <c r="F38" s="12" t="s">
        <v>1662</v>
      </c>
      <c r="G38" s="12">
        <v>1</v>
      </c>
      <c r="H38" s="11">
        <v>10.49</v>
      </c>
      <c r="I38" s="32">
        <f>Tabela13[[#This Row],[Quantidade]]*Tabela13[[#This Row],[Cotação na Compra ou Venda]]</f>
        <v>10.49</v>
      </c>
      <c r="J38" s="80">
        <f>SUMIFS(G:G,D:D,D38,B:B,"Compra")-(SUMIFS(G:G,D:D,D38,B:B,"Venda"))</f>
        <v>233</v>
      </c>
      <c r="K38" s="81">
        <f>SUMIFS(G:G,D:D,D38,B:B,"Compra")-(SUMIFS(G:G,D:D,D38,B:B,"Venda"))</f>
        <v>233</v>
      </c>
      <c r="L38" s="32">
        <f t="shared" si="7"/>
        <v>2360.29</v>
      </c>
      <c r="M38" s="32">
        <f>IF(K38&lt;=0,0,IFERROR(ROUND(SUMIFS(I:I,D:D,D38,B:B,"Compra")/SUMIFS(G:G,D:D,D38,B:B,"Compra"),2),""))</f>
        <v>10.130000000000001</v>
      </c>
    </row>
    <row r="39" spans="2:13" ht="15.75" x14ac:dyDescent="0.25">
      <c r="B39" s="34" t="s">
        <v>1665</v>
      </c>
      <c r="C39" s="86">
        <v>44138</v>
      </c>
      <c r="D39" s="15" t="s">
        <v>124</v>
      </c>
      <c r="E39" s="12" t="str">
        <f>VLOOKUP(Tabela13[[#This Row],[Código]],'COTAÇÃO ATUAL'!C:F,4,0)</f>
        <v>FII RIO BRAVO RENDA VAREJO-FII</v>
      </c>
      <c r="F39" s="12" t="s">
        <v>1662</v>
      </c>
      <c r="G39" s="12">
        <v>3</v>
      </c>
      <c r="H39" s="11">
        <v>118.98</v>
      </c>
      <c r="I39" s="32">
        <f>Tabela13[[#This Row],[Quantidade]]*Tabela13[[#This Row],[Cotação na Compra ou Venda]]</f>
        <v>356.94</v>
      </c>
      <c r="J39" s="80">
        <f>SUMIFS(G:G,D:D,D39,B:B,"Compra")-(SUMIFS(G:G,D:D,D39,B:B,"Venda"))</f>
        <v>31</v>
      </c>
      <c r="K39" s="81">
        <f>SUMIFS(G:G,D:D,D39,B:B,"Compra")-(SUMIFS(G:G,D:D,D39,B:B,"Venda"))</f>
        <v>31</v>
      </c>
      <c r="L39" s="32">
        <f t="shared" si="7"/>
        <v>3304.6</v>
      </c>
      <c r="M39" s="32">
        <f>IF(K39&lt;=0,0,IFERROR(ROUND(SUMIFS(I:I,D:D,D39,B:B,"Compra")/SUMIFS(G:G,D:D,D39,B:B,"Compra"),2),""))</f>
        <v>106.6</v>
      </c>
    </row>
    <row r="40" spans="2:13" ht="15.75" x14ac:dyDescent="0.25">
      <c r="B40" s="34" t="s">
        <v>1665</v>
      </c>
      <c r="C40" s="86">
        <v>44151</v>
      </c>
      <c r="D40" s="15" t="s">
        <v>124</v>
      </c>
      <c r="E40" s="12" t="str">
        <f>VLOOKUP(Tabela13[[#This Row],[Código]],'COTAÇÃO ATUAL'!C:F,4,0)</f>
        <v>FII RIO BRAVO RENDA VAREJO-FII</v>
      </c>
      <c r="F40" s="12" t="s">
        <v>1662</v>
      </c>
      <c r="G40" s="12">
        <v>2</v>
      </c>
      <c r="H40" s="11">
        <v>118.83</v>
      </c>
      <c r="I40" s="32">
        <f>Tabela13[[#This Row],[Quantidade]]*Tabela13[[#This Row],[Cotação na Compra ou Venda]]</f>
        <v>237.66</v>
      </c>
      <c r="J40" s="80">
        <f>SUMIFS(G:G,D:D,D40,B:B,"Compra")-(SUMIFS(G:G,D:D,D40,B:B,"Venda"))</f>
        <v>31</v>
      </c>
      <c r="K40" s="81">
        <f>SUMIFS(G:G,D:D,D40,B:B,"Compra")-(SUMIFS(G:G,D:D,D40,B:B,"Venda"))</f>
        <v>31</v>
      </c>
      <c r="L40" s="32">
        <f t="shared" si="7"/>
        <v>3304.6</v>
      </c>
      <c r="M40" s="32">
        <f>IF(K40&lt;=0,0,IFERROR(ROUND(SUMIFS(I:I,D:D,D40,B:B,"Compra")/SUMIFS(G:G,D:D,D40,B:B,"Compra"),2),""))</f>
        <v>106.6</v>
      </c>
    </row>
    <row r="41" spans="2:13" ht="15.75" x14ac:dyDescent="0.25">
      <c r="B41" s="34" t="s">
        <v>1665</v>
      </c>
      <c r="C41" s="86">
        <v>44151</v>
      </c>
      <c r="D41" s="16" t="s">
        <v>151</v>
      </c>
      <c r="E41" s="12" t="str">
        <f>VLOOKUP(Tabela13[[#This Row],[Código]],'COTAÇÃO ATUAL'!C:F,4,0)</f>
        <v>VINCI OFFICES FDO INV IMOB - FII VINC COR</v>
      </c>
      <c r="F41" s="12" t="s">
        <v>1662</v>
      </c>
      <c r="G41" s="12">
        <v>6</v>
      </c>
      <c r="H41" s="11">
        <v>59.14</v>
      </c>
      <c r="I41" s="32">
        <f>Tabela13[[#This Row],[Quantidade]]*Tabela13[[#This Row],[Cotação na Compra ou Venda]]</f>
        <v>354.84000000000003</v>
      </c>
      <c r="J41" s="80">
        <f>SUMIFS(G:G,D:D,D41,B:B,"Compra")-(SUMIFS(G:G,D:D,D41,B:B,"Venda"))</f>
        <v>60</v>
      </c>
      <c r="K41" s="81">
        <f>SUMIFS(G:G,D:D,D41,B:B,"Compra")-(SUMIFS(G:G,D:D,D41,B:B,"Venda"))</f>
        <v>60</v>
      </c>
      <c r="L41" s="32">
        <f t="shared" si="7"/>
        <v>3229.8</v>
      </c>
      <c r="M41" s="32">
        <f>IF(K41&lt;=0,0,IFERROR(ROUND(SUMIFS(I:I,D:D,D41,B:B,"Compra")/SUMIFS(G:G,D:D,D41,B:B,"Compra"),2),""))</f>
        <v>53.83</v>
      </c>
    </row>
    <row r="42" spans="2:13" ht="15.75" x14ac:dyDescent="0.25">
      <c r="B42" s="34" t="s">
        <v>1665</v>
      </c>
      <c r="C42" s="84">
        <v>44165</v>
      </c>
      <c r="D42" s="16" t="s">
        <v>151</v>
      </c>
      <c r="E42" s="13" t="str">
        <f>VLOOKUP(Tabela13[[#This Row],[Código]],'COTAÇÃO ATUAL'!C:F,4,0)</f>
        <v>VINCI OFFICES FDO INV IMOB - FII VINC COR</v>
      </c>
      <c r="F42" s="12" t="s">
        <v>1662</v>
      </c>
      <c r="G42" s="13">
        <v>4</v>
      </c>
      <c r="H42" s="14">
        <v>59.98</v>
      </c>
      <c r="I42" s="33">
        <f>Tabela13[[#This Row],[Quantidade]]*Tabela13[[#This Row],[Cotação na Compra ou Venda]]</f>
        <v>239.92</v>
      </c>
      <c r="J42" s="82">
        <f>SUMIFS(G:G,D:D,D42,B:B,"Compra")-(SUMIFS(G:G,D:D,D42,B:B,"Venda"))</f>
        <v>60</v>
      </c>
      <c r="K42" s="83">
        <f>SUMIFS(G:G,D:D,D42,B:B,"Compra")-(SUMIFS(G:G,D:D,D42,B:B,"Venda"))</f>
        <v>60</v>
      </c>
      <c r="L42" s="33">
        <f t="shared" si="7"/>
        <v>3229.8</v>
      </c>
      <c r="M42" s="33">
        <f>IF(K42&lt;=0,0,IFERROR(ROUND(SUMIFS(I:I,D:D,D42,B:B,"Compra")/SUMIFS(G:G,D:D,D42,B:B,"Compra"),2),""))</f>
        <v>53.83</v>
      </c>
    </row>
    <row r="43" spans="2:13" ht="15.75" x14ac:dyDescent="0.25">
      <c r="B43" s="34" t="s">
        <v>1665</v>
      </c>
      <c r="C43" s="86">
        <v>44193</v>
      </c>
      <c r="D43" s="16" t="s">
        <v>12</v>
      </c>
      <c r="E43" s="12" t="str">
        <f>VLOOKUP(Tabela13[[#This Row],[Código]],'COTAÇÃO ATUAL'!C:F,4,0)</f>
        <v>FI IMOBILIARIO FII BTG PACTUAL FUNDO DE FUNDOS</v>
      </c>
      <c r="F43" s="12" t="s">
        <v>1662</v>
      </c>
      <c r="G43" s="12">
        <v>2</v>
      </c>
      <c r="H43" s="11">
        <v>90.49</v>
      </c>
      <c r="I43" s="32">
        <f>Tabela13[[#This Row],[Quantidade]]*Tabela13[[#This Row],[Cotação na Compra ou Venda]]</f>
        <v>180.98</v>
      </c>
      <c r="J43" s="80">
        <f>SUMIFS(G:G,D:D,D43,B:B,"Compra")-(SUMIFS(G:G,D:D,D43,B:B,"Venda"))</f>
        <v>54</v>
      </c>
      <c r="K43" s="81">
        <f>SUMIFS(G:G,D:D,D43,B:B,"Compra")-(SUMIFS(G:G,D:D,D43,B:B,"Venda"))</f>
        <v>54</v>
      </c>
      <c r="L43" s="32">
        <f t="shared" ref="L43:L50" si="8">IF(K43&lt;=0,0,ROUND(M43*K43,2))</f>
        <v>4202.28</v>
      </c>
      <c r="M43" s="32">
        <f>IF(K43&lt;=0,0,IFERROR(ROUND(SUMIFS(I:I,D:D,D43,B:B,"Compra")/SUMIFS(G:G,D:D,D43,B:B,"Compra"),2),""))</f>
        <v>77.819999999999993</v>
      </c>
    </row>
    <row r="44" spans="2:13" ht="15.75" x14ac:dyDescent="0.25">
      <c r="B44" s="34" t="s">
        <v>1665</v>
      </c>
      <c r="C44" s="86">
        <v>44193</v>
      </c>
      <c r="D44" s="16" t="s">
        <v>20</v>
      </c>
      <c r="E44" s="12" t="str">
        <f>VLOOKUP(Tabela13[[#This Row],[Código]],'COTAÇÃO ATUAL'!C:F,4,0)</f>
        <v>FII BTG PACTUAL CORPORATE OFFICE FUND</v>
      </c>
      <c r="F44" s="12" t="s">
        <v>1662</v>
      </c>
      <c r="G44" s="12">
        <v>5</v>
      </c>
      <c r="H44" s="11">
        <v>88.03</v>
      </c>
      <c r="I44" s="32">
        <f>Tabela13[[#This Row],[Quantidade]]*Tabela13[[#This Row],[Cotação na Compra ou Venda]]</f>
        <v>440.15</v>
      </c>
      <c r="J44" s="80">
        <f>SUMIFS(G:G,D:D,D44,B:B,"Compra")-(SUMIFS(G:G,D:D,D44,B:B,"Venda"))</f>
        <v>53</v>
      </c>
      <c r="K44" s="81">
        <f>SUMIFS(G:G,D:D,D44,B:B,"Compra")-(SUMIFS(G:G,D:D,D44,B:B,"Venda"))</f>
        <v>53</v>
      </c>
      <c r="L44" s="32">
        <f t="shared" si="8"/>
        <v>3941.61</v>
      </c>
      <c r="M44" s="32">
        <f>IF(K44&lt;=0,0,IFERROR(ROUND(SUMIFS(I:I,D:D,D44,B:B,"Compra")/SUMIFS(G:G,D:D,D44,B:B,"Compra"),2),""))</f>
        <v>74.37</v>
      </c>
    </row>
    <row r="45" spans="2:13" ht="15.75" x14ac:dyDescent="0.25">
      <c r="B45" s="34" t="s">
        <v>1665</v>
      </c>
      <c r="C45" s="86">
        <v>44193</v>
      </c>
      <c r="D45" s="16" t="s">
        <v>62</v>
      </c>
      <c r="E45" s="12" t="str">
        <f>VLOOKUP(Tabela13[[#This Row],[Código]],'COTAÇÃO ATUAL'!C:F,4,0)</f>
        <v>CSHG LOGISTICA FND DE INVSTMNT IMBLR FII</v>
      </c>
      <c r="F45" s="12" t="s">
        <v>1662</v>
      </c>
      <c r="G45" s="12">
        <v>2</v>
      </c>
      <c r="H45" s="11">
        <v>175</v>
      </c>
      <c r="I45" s="32">
        <f>Tabela13[[#This Row],[Quantidade]]*Tabela13[[#This Row],[Cotação na Compra ou Venda]]</f>
        <v>350</v>
      </c>
      <c r="J45" s="80">
        <f>SUMIFS(G:G,D:D,D45,B:B,"Compra")-(SUMIFS(G:G,D:D,D45,B:B,"Venda"))</f>
        <v>21</v>
      </c>
      <c r="K45" s="81">
        <f>SUMIFS(G:G,D:D,D45,B:B,"Compra")-(SUMIFS(G:G,D:D,D45,B:B,"Venda"))</f>
        <v>21</v>
      </c>
      <c r="L45" s="32">
        <f t="shared" si="8"/>
        <v>3494.19</v>
      </c>
      <c r="M45" s="32">
        <f>IF(K45&lt;=0,0,IFERROR(ROUND(SUMIFS(I:I,D:D,D45,B:B,"Compra")/SUMIFS(G:G,D:D,D45,B:B,"Compra"),2),""))</f>
        <v>166.39</v>
      </c>
    </row>
    <row r="46" spans="2:13" ht="15.75" x14ac:dyDescent="0.25">
      <c r="B46" s="34" t="s">
        <v>1665</v>
      </c>
      <c r="C46" s="86">
        <v>44193</v>
      </c>
      <c r="D46" s="16" t="s">
        <v>65</v>
      </c>
      <c r="E46" s="12" t="str">
        <f>VLOOKUP(Tabela13[[#This Row],[Código]],'COTAÇÃO ATUAL'!C:F,4,0)</f>
        <v>CSHG RENDA URBANA-FI IMOBILIARIO-FII</v>
      </c>
      <c r="F46" s="12" t="s">
        <v>1662</v>
      </c>
      <c r="G46" s="12">
        <v>2</v>
      </c>
      <c r="H46" s="11">
        <v>126.87</v>
      </c>
      <c r="I46" s="32">
        <f>Tabela13[[#This Row],[Quantidade]]*Tabela13[[#This Row],[Cotação na Compra ou Venda]]</f>
        <v>253.74</v>
      </c>
      <c r="J46" s="80">
        <f>SUMIFS(G:G,D:D,D46,B:B,"Compra")-(SUMIFS(G:G,D:D,D46,B:B,"Venda"))</f>
        <v>24</v>
      </c>
      <c r="K46" s="81">
        <f>SUMIFS(G:G,D:D,D46,B:B,"Compra")-(SUMIFS(G:G,D:D,D46,B:B,"Venda"))</f>
        <v>24</v>
      </c>
      <c r="L46" s="32">
        <f t="shared" si="8"/>
        <v>2844.96</v>
      </c>
      <c r="M46" s="32">
        <f>IF(K46&lt;=0,0,IFERROR(ROUND(SUMIFS(I:I,D:D,D46,B:B,"Compra")/SUMIFS(G:G,D:D,D46,B:B,"Compra"),2),""))</f>
        <v>118.54</v>
      </c>
    </row>
    <row r="47" spans="2:13" ht="15.75" x14ac:dyDescent="0.25">
      <c r="B47" s="34" t="s">
        <v>1665</v>
      </c>
      <c r="C47" s="86">
        <v>44193</v>
      </c>
      <c r="D47" s="16" t="s">
        <v>80</v>
      </c>
      <c r="E47" s="12" t="str">
        <f>VLOOKUP(Tabela13[[#This Row],[Código]],'COTAÇÃO ATUAL'!C:F,4,0)</f>
        <v>KINEA RENDA IMOBILIARIA FII</v>
      </c>
      <c r="F47" s="12" t="s">
        <v>1662</v>
      </c>
      <c r="G47" s="12">
        <v>3</v>
      </c>
      <c r="H47" s="11">
        <v>162.34</v>
      </c>
      <c r="I47" s="32">
        <f>Tabela13[[#This Row],[Quantidade]]*Tabela13[[#This Row],[Cotação na Compra ou Venda]]</f>
        <v>487.02</v>
      </c>
      <c r="J47" s="80">
        <f>SUMIFS(G:G,D:D,D47,B:B,"Compra")-(SUMIFS(G:G,D:D,D47,B:B,"Venda"))</f>
        <v>30</v>
      </c>
      <c r="K47" s="81">
        <f>SUMIFS(G:G,D:D,D47,B:B,"Compra")-(SUMIFS(G:G,D:D,D47,B:B,"Venda"))</f>
        <v>30</v>
      </c>
      <c r="L47" s="32">
        <f t="shared" si="8"/>
        <v>4487.1000000000004</v>
      </c>
      <c r="M47" s="32">
        <f>IF(K47&lt;=0,0,IFERROR(ROUND(SUMIFS(I:I,D:D,D47,B:B,"Compra")/SUMIFS(G:G,D:D,D47,B:B,"Compra"),2),""))</f>
        <v>149.57</v>
      </c>
    </row>
    <row r="48" spans="2:13" ht="15.75" x14ac:dyDescent="0.25">
      <c r="B48" s="34" t="s">
        <v>1665</v>
      </c>
      <c r="C48" s="86">
        <v>44193</v>
      </c>
      <c r="D48" s="15" t="s">
        <v>94</v>
      </c>
      <c r="E48" s="12" t="str">
        <f>VLOOKUP(Tabela13[[#This Row],[Código]],'COTAÇÃO ATUAL'!C:F,4,0)</f>
        <v>MAXI RENDA FUNDO DE INVESTIMENTO IMOBILIARIO - FII</v>
      </c>
      <c r="F48" s="12" t="s">
        <v>1662</v>
      </c>
      <c r="G48" s="12">
        <v>10</v>
      </c>
      <c r="H48" s="11">
        <v>10.46</v>
      </c>
      <c r="I48" s="32">
        <f>Tabela13[[#This Row],[Quantidade]]*Tabela13[[#This Row],[Cotação na Compra ou Venda]]</f>
        <v>104.60000000000001</v>
      </c>
      <c r="J48" s="80">
        <f>SUMIFS(G:G,D:D,D48,B:B,"Compra")-(SUMIFS(G:G,D:D,D48,B:B,"Venda"))</f>
        <v>233</v>
      </c>
      <c r="K48" s="81">
        <f>SUMIFS(G:G,D:D,D48,B:B,"Compra")-(SUMIFS(G:G,D:D,D48,B:B,"Venda"))</f>
        <v>233</v>
      </c>
      <c r="L48" s="32">
        <f t="shared" si="8"/>
        <v>2360.29</v>
      </c>
      <c r="M48" s="32">
        <f>IF(K48&lt;=0,0,IFERROR(ROUND(SUMIFS(I:I,D:D,D48,B:B,"Compra")/SUMIFS(G:G,D:D,D48,B:B,"Compra"),2),""))</f>
        <v>10.130000000000001</v>
      </c>
    </row>
    <row r="49" spans="2:13" ht="15.75" x14ac:dyDescent="0.25">
      <c r="B49" s="34" t="s">
        <v>1665</v>
      </c>
      <c r="C49" s="86">
        <v>44193</v>
      </c>
      <c r="D49" s="15" t="s">
        <v>124</v>
      </c>
      <c r="E49" s="12" t="str">
        <f>VLOOKUP(Tabela13[[#This Row],[Código]],'COTAÇÃO ATUAL'!C:F,4,0)</f>
        <v>FII RIO BRAVO RENDA VAREJO-FII</v>
      </c>
      <c r="F49" s="12" t="s">
        <v>1662</v>
      </c>
      <c r="G49" s="12">
        <v>4</v>
      </c>
      <c r="H49" s="11">
        <v>116.72</v>
      </c>
      <c r="I49" s="32">
        <f>Tabela13[[#This Row],[Quantidade]]*Tabela13[[#This Row],[Cotação na Compra ou Venda]]</f>
        <v>466.88</v>
      </c>
      <c r="J49" s="80">
        <f>SUMIFS(G:G,D:D,D49,B:B,"Compra")-(SUMIFS(G:G,D:D,D49,B:B,"Venda"))</f>
        <v>31</v>
      </c>
      <c r="K49" s="81">
        <f>SUMIFS(G:G,D:D,D49,B:B,"Compra")-(SUMIFS(G:G,D:D,D49,B:B,"Venda"))</f>
        <v>31</v>
      </c>
      <c r="L49" s="32">
        <f t="shared" si="8"/>
        <v>3304.6</v>
      </c>
      <c r="M49" s="32">
        <f>IF(K49&lt;=0,0,IFERROR(ROUND(SUMIFS(I:I,D:D,D49,B:B,"Compra")/SUMIFS(G:G,D:D,D49,B:B,"Compra"),2),""))</f>
        <v>106.6</v>
      </c>
    </row>
    <row r="50" spans="2:13" ht="15.75" x14ac:dyDescent="0.25">
      <c r="B50" s="34" t="s">
        <v>1665</v>
      </c>
      <c r="C50" s="84">
        <v>44193</v>
      </c>
      <c r="D50" s="16" t="s">
        <v>165</v>
      </c>
      <c r="E50" s="13" t="str">
        <f>VLOOKUP(Tabela13[[#This Row],[Código]],'COTAÇÃO ATUAL'!C:F,4,0)</f>
        <v>XP LOG FUNDO DE INVESTIMENTO IMOBILIARIO-FII</v>
      </c>
      <c r="F50" s="12" t="s">
        <v>1662</v>
      </c>
      <c r="G50" s="13">
        <v>2</v>
      </c>
      <c r="H50" s="14">
        <v>119.99</v>
      </c>
      <c r="I50" s="33">
        <f>Tabela13[[#This Row],[Quantidade]]*Tabela13[[#This Row],[Cotação na Compra ou Venda]]</f>
        <v>239.98</v>
      </c>
      <c r="J50" s="82">
        <f>SUMIFS(G:G,D:D,D50,B:B,"Compra")-(SUMIFS(G:G,D:D,D50,B:B,"Venda"))</f>
        <v>34</v>
      </c>
      <c r="K50" s="83">
        <f>SUMIFS(G:G,D:D,D50,B:B,"Compra")-(SUMIFS(G:G,D:D,D50,B:B,"Venda"))</f>
        <v>34</v>
      </c>
      <c r="L50" s="33">
        <f t="shared" si="8"/>
        <v>3825.68</v>
      </c>
      <c r="M50" s="33">
        <f>IF(K50&lt;=0,0,IFERROR(ROUND(SUMIFS(I:I,D:D,D50,B:B,"Compra")/SUMIFS(G:G,D:D,D50,B:B,"Compra"),2),""))</f>
        <v>112.52</v>
      </c>
    </row>
    <row r="51" spans="2:13" ht="15.75" x14ac:dyDescent="0.25">
      <c r="B51" s="34" t="s">
        <v>1665</v>
      </c>
      <c r="C51" s="86">
        <v>44225</v>
      </c>
      <c r="D51" s="16" t="s">
        <v>64</v>
      </c>
      <c r="E51" s="12" t="str">
        <f>VLOOKUP(Tabela13[[#This Row],[Código]],'COTAÇÃO ATUAL'!C:F,4,0)</f>
        <v>CSHG REAL ESTATE FI IMOBILIARIO-FII</v>
      </c>
      <c r="F51" s="12" t="s">
        <v>1662</v>
      </c>
      <c r="G51" s="12">
        <v>6</v>
      </c>
      <c r="H51" s="11">
        <v>149.09</v>
      </c>
      <c r="I51" s="32">
        <f>Tabela13[[#This Row],[Quantidade]]*Tabela13[[#This Row],[Cotação na Compra ou Venda]]</f>
        <v>894.54</v>
      </c>
      <c r="J51" s="80">
        <f>SUMIFS(G:G,D:D,D51,B:B,"Compra")-(SUMIFS(G:G,D:D,D51,B:B,"Venda"))</f>
        <v>28</v>
      </c>
      <c r="K51" s="81">
        <f>SUMIFS(G:G,D:D,D51,B:B,"Compra")-(SUMIFS(G:G,D:D,D51,B:B,"Venda"))</f>
        <v>28</v>
      </c>
      <c r="L51" s="32">
        <f t="shared" ref="L51:L55" si="9">IF(K51&lt;=0,0,ROUND(M51*K51,2))</f>
        <v>3897.88</v>
      </c>
      <c r="M51" s="32">
        <f>IF(K51&lt;=0,0,IFERROR(ROUND(SUMIFS(I:I,D:D,D51,B:B,"Compra")/SUMIFS(G:G,D:D,D51,B:B,"Compra"),2),""))</f>
        <v>139.21</v>
      </c>
    </row>
    <row r="52" spans="2:13" ht="15.75" x14ac:dyDescent="0.25">
      <c r="B52" s="34" t="s">
        <v>1665</v>
      </c>
      <c r="C52" s="86">
        <v>44200</v>
      </c>
      <c r="D52" s="15" t="s">
        <v>94</v>
      </c>
      <c r="E52" s="12" t="str">
        <f>VLOOKUP(Tabela13[[#This Row],[Código]],'COTAÇÃO ATUAL'!C:F,4,0)</f>
        <v>MAXI RENDA FUNDO DE INVESTIMENTO IMOBILIARIO - FII</v>
      </c>
      <c r="F52" s="12" t="s">
        <v>1662</v>
      </c>
      <c r="G52" s="12">
        <v>4</v>
      </c>
      <c r="H52" s="11">
        <v>10.42</v>
      </c>
      <c r="I52" s="32">
        <f>Tabela13[[#This Row],[Quantidade]]*Tabela13[[#This Row],[Cotação na Compra ou Venda]]</f>
        <v>41.68</v>
      </c>
      <c r="J52" s="80">
        <f>SUMIFS(G:G,D:D,D52,B:B,"Compra")-(SUMIFS(G:G,D:D,D52,B:B,"Venda"))</f>
        <v>233</v>
      </c>
      <c r="K52" s="81">
        <f>SUMIFS(G:G,D:D,D52,B:B,"Compra")-(SUMIFS(G:G,D:D,D52,B:B,"Venda"))</f>
        <v>233</v>
      </c>
      <c r="L52" s="32">
        <f t="shared" si="9"/>
        <v>2360.29</v>
      </c>
      <c r="M52" s="32">
        <f>IF(K52&lt;=0,0,IFERROR(ROUND(SUMIFS(I:I,D:D,D52,B:B,"Compra")/SUMIFS(G:G,D:D,D52,B:B,"Compra"),2),""))</f>
        <v>10.130000000000001</v>
      </c>
    </row>
    <row r="53" spans="2:13" ht="15.75" x14ac:dyDescent="0.25">
      <c r="B53" s="34" t="s">
        <v>1665</v>
      </c>
      <c r="C53" s="86">
        <v>44223</v>
      </c>
      <c r="D53" s="15" t="s">
        <v>94</v>
      </c>
      <c r="E53" s="12" t="str">
        <f>VLOOKUP(Tabela13[[#This Row],[Código]],'COTAÇÃO ATUAL'!C:F,4,0)</f>
        <v>MAXI RENDA FUNDO DE INVESTIMENTO IMOBILIARIO - FII</v>
      </c>
      <c r="F53" s="12" t="s">
        <v>1662</v>
      </c>
      <c r="G53" s="12">
        <v>5</v>
      </c>
      <c r="H53" s="11">
        <v>10.51</v>
      </c>
      <c r="I53" s="32">
        <f>Tabela13[[#This Row],[Quantidade]]*Tabela13[[#This Row],[Cotação na Compra ou Venda]]</f>
        <v>52.55</v>
      </c>
      <c r="J53" s="80">
        <f>SUMIFS(G:G,D:D,D53,B:B,"Compra")-(SUMIFS(G:G,D:D,D53,B:B,"Venda"))</f>
        <v>233</v>
      </c>
      <c r="K53" s="81">
        <f>SUMIFS(G:G,D:D,D53,B:B,"Compra")-(SUMIFS(G:G,D:D,D53,B:B,"Venda"))</f>
        <v>233</v>
      </c>
      <c r="L53" s="32">
        <f t="shared" si="9"/>
        <v>2360.29</v>
      </c>
      <c r="M53" s="32">
        <f>IF(K53&lt;=0,0,IFERROR(ROUND(SUMIFS(I:I,D:D,D53,B:B,"Compra")/SUMIFS(G:G,D:D,D53,B:B,"Compra"),2),""))</f>
        <v>10.130000000000001</v>
      </c>
    </row>
    <row r="54" spans="2:13" ht="15.75" x14ac:dyDescent="0.25">
      <c r="B54" s="34" t="s">
        <v>1665</v>
      </c>
      <c r="C54" s="86">
        <v>44225</v>
      </c>
      <c r="D54" s="15" t="s">
        <v>94</v>
      </c>
      <c r="E54" s="12" t="str">
        <f>VLOOKUP(Tabela13[[#This Row],[Código]],'COTAÇÃO ATUAL'!C:F,4,0)</f>
        <v>MAXI RENDA FUNDO DE INVESTIMENTO IMOBILIARIO - FII</v>
      </c>
      <c r="F54" s="12" t="s">
        <v>1662</v>
      </c>
      <c r="G54" s="12">
        <v>10</v>
      </c>
      <c r="H54" s="11">
        <v>10.57</v>
      </c>
      <c r="I54" s="32">
        <f>Tabela13[[#This Row],[Quantidade]]*Tabela13[[#This Row],[Cotação na Compra ou Venda]]</f>
        <v>105.7</v>
      </c>
      <c r="J54" s="80">
        <f>SUMIFS(G:G,D:D,D54,B:B,"Compra")-(SUMIFS(G:G,D:D,D54,B:B,"Venda"))</f>
        <v>233</v>
      </c>
      <c r="K54" s="81">
        <f>SUMIFS(G:G,D:D,D54,B:B,"Compra")-(SUMIFS(G:G,D:D,D54,B:B,"Venda"))</f>
        <v>233</v>
      </c>
      <c r="L54" s="32">
        <f t="shared" si="9"/>
        <v>2360.29</v>
      </c>
      <c r="M54" s="32">
        <f>IF(K54&lt;=0,0,IFERROR(ROUND(SUMIFS(I:I,D:D,D54,B:B,"Compra")/SUMIFS(G:G,D:D,D54,B:B,"Compra"),2),""))</f>
        <v>10.130000000000001</v>
      </c>
    </row>
    <row r="55" spans="2:13" ht="15.75" x14ac:dyDescent="0.25">
      <c r="B55" s="34" t="s">
        <v>1665</v>
      </c>
      <c r="C55" s="84">
        <v>44223</v>
      </c>
      <c r="D55" s="16" t="s">
        <v>166</v>
      </c>
      <c r="E55" s="13" t="str">
        <f>VLOOKUP(Tabela13[[#This Row],[Código]],'COTAÇÃO ATUAL'!C:F,4,0)</f>
        <v>XP MALLS FUNDO DE INVESTIMENTO IMOBILIARIO</v>
      </c>
      <c r="F55" s="12" t="s">
        <v>1662</v>
      </c>
      <c r="G55" s="13">
        <v>2</v>
      </c>
      <c r="H55" s="14">
        <v>116.92</v>
      </c>
      <c r="I55" s="33">
        <f>Tabela13[[#This Row],[Quantidade]]*Tabela13[[#This Row],[Cotação na Compra ou Venda]]</f>
        <v>233.84</v>
      </c>
      <c r="J55" s="82">
        <f>SUMIFS(G:G,D:D,D55,B:B,"Compra")-(SUMIFS(G:G,D:D,D55,B:B,"Venda"))</f>
        <v>22</v>
      </c>
      <c r="K55" s="83">
        <f>SUMIFS(G:G,D:D,D55,B:B,"Compra")-(SUMIFS(G:G,D:D,D55,B:B,"Venda"))</f>
        <v>22</v>
      </c>
      <c r="L55" s="33">
        <f t="shared" si="9"/>
        <v>2317.6999999999998</v>
      </c>
      <c r="M55" s="33">
        <f>IF(K55&lt;=0,0,IFERROR(ROUND(SUMIFS(I:I,D:D,D55,B:B,"Compra")/SUMIFS(G:G,D:D,D55,B:B,"Compra"),2),""))</f>
        <v>105.35</v>
      </c>
    </row>
    <row r="56" spans="2:13" ht="15.75" x14ac:dyDescent="0.25">
      <c r="B56" s="34" t="s">
        <v>1665</v>
      </c>
      <c r="C56" s="84">
        <v>44250</v>
      </c>
      <c r="D56" s="15" t="s">
        <v>22</v>
      </c>
      <c r="E56" s="13" t="str">
        <f>VLOOKUP(Tabela13[[#This Row],[Código]],'COTAÇÃO ATUAL'!C:F,4,0)</f>
        <v>BTG PACTUAL LOGISTICA FI IMOBILIARIO</v>
      </c>
      <c r="F56" s="13" t="s">
        <v>1662</v>
      </c>
      <c r="G56" s="13">
        <v>3</v>
      </c>
      <c r="H56" s="14">
        <v>118.38</v>
      </c>
      <c r="I56" s="33">
        <f>Tabela13[[#This Row],[Quantidade]]*Tabela13[[#This Row],[Cotação na Compra ou Venda]]</f>
        <v>355.14</v>
      </c>
      <c r="J56" s="82">
        <f>SUMIFS(G:G,D:D,D56,B:B,"Compra")-(SUMIFS(G:G,D:D,D56,B:B,"Venda"))</f>
        <v>25</v>
      </c>
      <c r="K56" s="83">
        <f>SUMIFS(G:G,D:D,D56,B:B,"Compra")-(SUMIFS(G:G,D:D,D56,B:B,"Venda"))</f>
        <v>25</v>
      </c>
      <c r="L56" s="33">
        <f>IF(K56&lt;=0,0,ROUND(M56*K56,2))</f>
        <v>2708.5</v>
      </c>
      <c r="M56" s="33">
        <f>IF(K56&lt;=0,0,IFERROR(ROUND(SUMIFS(I:I,D:D,D56,B:B,"Compra")/SUMIFS(G:G,D:D,D56,B:B,"Compra"),2),""))</f>
        <v>108.34</v>
      </c>
    </row>
    <row r="57" spans="2:13" ht="15.75" x14ac:dyDescent="0.25">
      <c r="B57" s="34" t="s">
        <v>1665</v>
      </c>
      <c r="C57" s="86">
        <v>44286</v>
      </c>
      <c r="D57" s="16" t="s">
        <v>12</v>
      </c>
      <c r="E57" s="12" t="str">
        <f>VLOOKUP(Tabela13[[#This Row],[Código]],'COTAÇÃO ATUAL'!C:F,4,0)</f>
        <v>FI IMOBILIARIO FII BTG PACTUAL FUNDO DE FUNDOS</v>
      </c>
      <c r="F57" s="13" t="s">
        <v>1662</v>
      </c>
      <c r="G57" s="12">
        <v>3</v>
      </c>
      <c r="H57" s="11">
        <v>86.08</v>
      </c>
      <c r="I57" s="32">
        <f>Tabela13[[#This Row],[Quantidade]]*Tabela13[[#This Row],[Cotação na Compra ou Venda]]</f>
        <v>258.24</v>
      </c>
      <c r="J57" s="80">
        <f>SUMIFS(G:G,D:D,D57,B:B,"Compra")-(SUMIFS(G:G,D:D,D57,B:B,"Venda"))</f>
        <v>54</v>
      </c>
      <c r="K57" s="81">
        <f>SUMIFS(G:G,D:D,D57,B:B,"Compra")-(SUMIFS(G:G,D:D,D57,B:B,"Venda"))</f>
        <v>54</v>
      </c>
      <c r="L57" s="32">
        <f t="shared" ref="L57:L64" si="10">IF(K57&lt;=0,0,ROUND(M57*K57,2))</f>
        <v>4202.28</v>
      </c>
      <c r="M57" s="32">
        <f>IF(K57&lt;=0,0,IFERROR(ROUND(SUMIFS(I:I,D:D,D57,B:B,"Compra")/SUMIFS(G:G,D:D,D57,B:B,"Compra"),2),""))</f>
        <v>77.819999999999993</v>
      </c>
    </row>
    <row r="58" spans="2:13" ht="15.75" x14ac:dyDescent="0.25">
      <c r="B58" s="34" t="s">
        <v>1665</v>
      </c>
      <c r="C58" s="86">
        <v>44286</v>
      </c>
      <c r="D58" s="16" t="s">
        <v>20</v>
      </c>
      <c r="E58" s="12" t="str">
        <f>VLOOKUP(Tabela13[[#This Row],[Código]],'COTAÇÃO ATUAL'!C:F,4,0)</f>
        <v>FII BTG PACTUAL CORPORATE OFFICE FUND</v>
      </c>
      <c r="F58" s="13" t="s">
        <v>1662</v>
      </c>
      <c r="G58" s="12">
        <v>4</v>
      </c>
      <c r="H58" s="11">
        <v>81.94</v>
      </c>
      <c r="I58" s="32">
        <f>Tabela13[[#This Row],[Quantidade]]*Tabela13[[#This Row],[Cotação na Compra ou Venda]]</f>
        <v>327.76</v>
      </c>
      <c r="J58" s="80">
        <f>SUMIFS(G:G,D:D,D58,B:B,"Compra")-(SUMIFS(G:G,D:D,D58,B:B,"Venda"))</f>
        <v>53</v>
      </c>
      <c r="K58" s="81">
        <f>SUMIFS(G:G,D:D,D58,B:B,"Compra")-(SUMIFS(G:G,D:D,D58,B:B,"Venda"))</f>
        <v>53</v>
      </c>
      <c r="L58" s="32">
        <f t="shared" si="10"/>
        <v>3941.61</v>
      </c>
      <c r="M58" s="32">
        <f>IF(K58&lt;=0,0,IFERROR(ROUND(SUMIFS(I:I,D:D,D58,B:B,"Compra")/SUMIFS(G:G,D:D,D58,B:B,"Compra"),2),""))</f>
        <v>74.37</v>
      </c>
    </row>
    <row r="59" spans="2:13" ht="15.75" x14ac:dyDescent="0.25">
      <c r="B59" s="34" t="s">
        <v>1665</v>
      </c>
      <c r="C59" s="86">
        <v>44286</v>
      </c>
      <c r="D59" s="15" t="s">
        <v>22</v>
      </c>
      <c r="E59" s="12" t="str">
        <f>VLOOKUP(Tabela13[[#This Row],[Código]],'COTAÇÃO ATUAL'!C:F,4,0)</f>
        <v>BTG PACTUAL LOGISTICA FI IMOBILIARIO</v>
      </c>
      <c r="F59" s="13" t="s">
        <v>1662</v>
      </c>
      <c r="G59" s="12">
        <v>3</v>
      </c>
      <c r="H59" s="11">
        <v>114.97</v>
      </c>
      <c r="I59" s="32">
        <f>Tabela13[[#This Row],[Quantidade]]*Tabela13[[#This Row],[Cotação na Compra ou Venda]]</f>
        <v>344.90999999999997</v>
      </c>
      <c r="J59" s="80">
        <f>SUMIFS(G:G,D:D,D59,B:B,"Compra")-(SUMIFS(G:G,D:D,D59,B:B,"Venda"))</f>
        <v>25</v>
      </c>
      <c r="K59" s="81">
        <f>SUMIFS(G:G,D:D,D59,B:B,"Compra")-(SUMIFS(G:G,D:D,D59,B:B,"Venda"))</f>
        <v>25</v>
      </c>
      <c r="L59" s="32">
        <f t="shared" si="10"/>
        <v>2708.5</v>
      </c>
      <c r="M59" s="32">
        <f>IF(K59&lt;=0,0,IFERROR(ROUND(SUMIFS(I:I,D:D,D59,B:B,"Compra")/SUMIFS(G:G,D:D,D59,B:B,"Compra"),2),""))</f>
        <v>108.34</v>
      </c>
    </row>
    <row r="60" spans="2:13" ht="15.75" x14ac:dyDescent="0.25">
      <c r="B60" s="34" t="s">
        <v>1665</v>
      </c>
      <c r="C60" s="86">
        <v>44286</v>
      </c>
      <c r="D60" s="15" t="s">
        <v>94</v>
      </c>
      <c r="E60" s="12" t="str">
        <f>VLOOKUP(Tabela13[[#This Row],[Código]],'COTAÇÃO ATUAL'!C:F,4,0)</f>
        <v>MAXI RENDA FUNDO DE INVESTIMENTO IMOBILIARIO - FII</v>
      </c>
      <c r="F60" s="13" t="s">
        <v>1662</v>
      </c>
      <c r="G60" s="12">
        <v>20</v>
      </c>
      <c r="H60" s="11">
        <v>10.36</v>
      </c>
      <c r="I60" s="32">
        <f>Tabela13[[#This Row],[Quantidade]]*Tabela13[[#This Row],[Cotação na Compra ou Venda]]</f>
        <v>207.2</v>
      </c>
      <c r="J60" s="80">
        <f>SUMIFS(G:G,D:D,D60,B:B,"Compra")-(SUMIFS(G:G,D:D,D60,B:B,"Venda"))</f>
        <v>233</v>
      </c>
      <c r="K60" s="81">
        <f>SUMIFS(G:G,D:D,D60,B:B,"Compra")-(SUMIFS(G:G,D:D,D60,B:B,"Venda"))</f>
        <v>233</v>
      </c>
      <c r="L60" s="32">
        <f t="shared" si="10"/>
        <v>2360.29</v>
      </c>
      <c r="M60" s="32">
        <f>IF(K60&lt;=0,0,IFERROR(ROUND(SUMIFS(I:I,D:D,D60,B:B,"Compra")/SUMIFS(G:G,D:D,D60,B:B,"Compra"),2),""))</f>
        <v>10.130000000000001</v>
      </c>
    </row>
    <row r="61" spans="2:13" ht="15.75" x14ac:dyDescent="0.25">
      <c r="B61" s="34" t="s">
        <v>1665</v>
      </c>
      <c r="C61" s="86">
        <v>44259</v>
      </c>
      <c r="D61" s="15" t="s">
        <v>124</v>
      </c>
      <c r="E61" s="12" t="str">
        <f>VLOOKUP(Tabela13[[#This Row],[Código]],'COTAÇÃO ATUAL'!C:F,4,0)</f>
        <v>FII RIO BRAVO RENDA VAREJO-FII</v>
      </c>
      <c r="F61" s="13" t="s">
        <v>1662</v>
      </c>
      <c r="G61" s="12">
        <v>1</v>
      </c>
      <c r="H61" s="11">
        <v>106.65</v>
      </c>
      <c r="I61" s="32">
        <f>Tabela13[[#This Row],[Quantidade]]*Tabela13[[#This Row],[Cotação na Compra ou Venda]]</f>
        <v>106.65</v>
      </c>
      <c r="J61" s="80">
        <f>SUMIFS(G:G,D:D,D61,B:B,"Compra")-(SUMIFS(G:G,D:D,D61,B:B,"Venda"))</f>
        <v>31</v>
      </c>
      <c r="K61" s="81">
        <f>SUMIFS(G:G,D:D,D61,B:B,"Compra")-(SUMIFS(G:G,D:D,D61,B:B,"Venda"))</f>
        <v>31</v>
      </c>
      <c r="L61" s="32">
        <f t="shared" si="10"/>
        <v>3304.6</v>
      </c>
      <c r="M61" s="32">
        <f>IF(K61&lt;=0,0,IFERROR(ROUND(SUMIFS(I:I,D:D,D61,B:B,"Compra")/SUMIFS(G:G,D:D,D61,B:B,"Compra"),2),""))</f>
        <v>106.6</v>
      </c>
    </row>
    <row r="62" spans="2:13" ht="15.75" x14ac:dyDescent="0.25">
      <c r="B62" s="34" t="s">
        <v>1665</v>
      </c>
      <c r="C62" s="86">
        <v>44286</v>
      </c>
      <c r="D62" s="15" t="s">
        <v>124</v>
      </c>
      <c r="E62" s="12" t="str">
        <f>VLOOKUP(Tabela13[[#This Row],[Código]],'COTAÇÃO ATUAL'!C:F,4,0)</f>
        <v>FII RIO BRAVO RENDA VAREJO-FII</v>
      </c>
      <c r="F62" s="13" t="s">
        <v>1662</v>
      </c>
      <c r="G62" s="12">
        <v>2</v>
      </c>
      <c r="H62" s="11">
        <v>109.98</v>
      </c>
      <c r="I62" s="32">
        <f>Tabela13[[#This Row],[Quantidade]]*Tabela13[[#This Row],[Cotação na Compra ou Venda]]</f>
        <v>219.96</v>
      </c>
      <c r="J62" s="80">
        <f>SUMIFS(G:G,D:D,D62,B:B,"Compra")-(SUMIFS(G:G,D:D,D62,B:B,"Venda"))</f>
        <v>31</v>
      </c>
      <c r="K62" s="81">
        <f>SUMIFS(G:G,D:D,D62,B:B,"Compra")-(SUMIFS(G:G,D:D,D62,B:B,"Venda"))</f>
        <v>31</v>
      </c>
      <c r="L62" s="32">
        <f t="shared" si="10"/>
        <v>3304.6</v>
      </c>
      <c r="M62" s="32">
        <f>IF(K62&lt;=0,0,IFERROR(ROUND(SUMIFS(I:I,D:D,D62,B:B,"Compra")/SUMIFS(G:G,D:D,D62,B:B,"Compra"),2),""))</f>
        <v>106.6</v>
      </c>
    </row>
    <row r="63" spans="2:13" ht="15.75" x14ac:dyDescent="0.25">
      <c r="B63" s="34" t="s">
        <v>1665</v>
      </c>
      <c r="C63" s="86">
        <v>44286</v>
      </c>
      <c r="D63" s="16" t="s">
        <v>150</v>
      </c>
      <c r="E63" s="12" t="str">
        <f>VLOOKUP(Tabela13[[#This Row],[Código]],'COTAÇÃO ATUAL'!C:F,4,0)</f>
        <v>VINCI LOGISTICA FUNDO DE INVESTIMENTO IMOBILIARIO</v>
      </c>
      <c r="F63" s="13" t="s">
        <v>1662</v>
      </c>
      <c r="G63" s="12">
        <v>2</v>
      </c>
      <c r="H63" s="11">
        <v>117.9</v>
      </c>
      <c r="I63" s="32">
        <f>Tabela13[[#This Row],[Quantidade]]*Tabela13[[#This Row],[Cotação na Compra ou Venda]]</f>
        <v>235.8</v>
      </c>
      <c r="J63" s="80">
        <f>SUMIFS(G:G,D:D,D63,B:B,"Compra")-(SUMIFS(G:G,D:D,D63,B:B,"Venda"))</f>
        <v>27</v>
      </c>
      <c r="K63" s="81">
        <f>SUMIFS(G:G,D:D,D63,B:B,"Compra")-(SUMIFS(G:G,D:D,D63,B:B,"Venda"))</f>
        <v>27</v>
      </c>
      <c r="L63" s="32">
        <f t="shared" si="10"/>
        <v>2935.17</v>
      </c>
      <c r="M63" s="32">
        <f>IF(K63&lt;=0,0,IFERROR(ROUND(SUMIFS(I:I,D:D,D63,B:B,"Compra")/SUMIFS(G:G,D:D,D63,B:B,"Compra"),2),""))</f>
        <v>108.71</v>
      </c>
    </row>
    <row r="64" spans="2:13" ht="15.75" x14ac:dyDescent="0.25">
      <c r="B64" s="34" t="s">
        <v>1665</v>
      </c>
      <c r="C64" s="84">
        <v>44286</v>
      </c>
      <c r="D64" s="16" t="s">
        <v>151</v>
      </c>
      <c r="E64" s="13" t="str">
        <f>VLOOKUP(Tabela13[[#This Row],[Código]],'COTAÇÃO ATUAL'!C:F,4,0)</f>
        <v>VINCI OFFICES FDO INV IMOB - FII VINC COR</v>
      </c>
      <c r="F64" s="13" t="s">
        <v>1662</v>
      </c>
      <c r="G64" s="13">
        <v>3</v>
      </c>
      <c r="H64" s="14">
        <v>61.415999999999997</v>
      </c>
      <c r="I64" s="33">
        <f>Tabela13[[#This Row],[Quantidade]]*Tabela13[[#This Row],[Cotação na Compra ou Venda]]</f>
        <v>184.24799999999999</v>
      </c>
      <c r="J64" s="82">
        <f>SUMIFS(G:G,D:D,D64,B:B,"Compra")-(SUMIFS(G:G,D:D,D64,B:B,"Venda"))</f>
        <v>60</v>
      </c>
      <c r="K64" s="83">
        <f>SUMIFS(G:G,D:D,D64,B:B,"Compra")-(SUMIFS(G:G,D:D,D64,B:B,"Venda"))</f>
        <v>60</v>
      </c>
      <c r="L64" s="33">
        <f t="shared" si="10"/>
        <v>3229.8</v>
      </c>
      <c r="M64" s="33">
        <f>IF(K64&lt;=0,0,IFERROR(ROUND(SUMIFS(I:I,D:D,D64,B:B,"Compra")/SUMIFS(G:G,D:D,D64,B:B,"Compra"),2),""))</f>
        <v>53.83</v>
      </c>
    </row>
    <row r="65" spans="2:13" ht="15.75" x14ac:dyDescent="0.25">
      <c r="B65" s="34" t="s">
        <v>1665</v>
      </c>
      <c r="C65" s="86">
        <v>44302</v>
      </c>
      <c r="D65" s="15" t="s">
        <v>22</v>
      </c>
      <c r="E65" s="12" t="str">
        <f>VLOOKUP(Tabela13[[#This Row],[Código]],'COTAÇÃO ATUAL'!C:F,4,0)</f>
        <v>BTG PACTUAL LOGISTICA FI IMOBILIARIO</v>
      </c>
      <c r="F65" s="13" t="s">
        <v>1662</v>
      </c>
      <c r="G65" s="12">
        <v>2</v>
      </c>
      <c r="H65" s="11">
        <v>112.1</v>
      </c>
      <c r="I65" s="32">
        <f>Tabela13[[#This Row],[Quantidade]]*Tabela13[[#This Row],[Cotação na Compra ou Venda]]</f>
        <v>224.2</v>
      </c>
      <c r="J65" s="80">
        <f>SUMIFS(G:G,D:D,D65,B:B,"Compra")-(SUMIFS(G:G,D:D,D65,B:B,"Venda"))</f>
        <v>25</v>
      </c>
      <c r="K65" s="81">
        <f>SUMIFS(G:G,D:D,D65,B:B,"Compra")-(SUMIFS(G:G,D:D,D65,B:B,"Venda"))</f>
        <v>25</v>
      </c>
      <c r="L65" s="32">
        <f t="shared" ref="L65:L67" si="11">IF(K65&lt;=0,0,ROUND(M65*K65,2))</f>
        <v>2708.5</v>
      </c>
      <c r="M65" s="32">
        <f>IF(K65&lt;=0,0,IFERROR(ROUND(SUMIFS(I:I,D:D,D65,B:B,"Compra")/SUMIFS(G:G,D:D,D65,B:B,"Compra"),2),""))</f>
        <v>108.34</v>
      </c>
    </row>
    <row r="66" spans="2:13" ht="15.75" x14ac:dyDescent="0.25">
      <c r="B66" s="34" t="s">
        <v>1665</v>
      </c>
      <c r="C66" s="86">
        <v>44302</v>
      </c>
      <c r="D66" s="15" t="s">
        <v>94</v>
      </c>
      <c r="E66" s="12" t="str">
        <f>VLOOKUP(Tabela13[[#This Row],[Código]],'COTAÇÃO ATUAL'!C:F,4,0)</f>
        <v>MAXI RENDA FUNDO DE INVESTIMENTO IMOBILIARIO - FII</v>
      </c>
      <c r="F66" s="13" t="s">
        <v>1662</v>
      </c>
      <c r="G66" s="12">
        <v>1</v>
      </c>
      <c r="H66" s="11">
        <v>10.48</v>
      </c>
      <c r="I66" s="32">
        <f>Tabela13[[#This Row],[Quantidade]]*Tabela13[[#This Row],[Cotação na Compra ou Venda]]</f>
        <v>10.48</v>
      </c>
      <c r="J66" s="80">
        <f>SUMIFS(G:G,D:D,D66,B:B,"Compra")-(SUMIFS(G:G,D:D,D66,B:B,"Venda"))</f>
        <v>233</v>
      </c>
      <c r="K66" s="81">
        <f>SUMIFS(G:G,D:D,D66,B:B,"Compra")-(SUMIFS(G:G,D:D,D66,B:B,"Venda"))</f>
        <v>233</v>
      </c>
      <c r="L66" s="32">
        <f t="shared" si="11"/>
        <v>2360.29</v>
      </c>
      <c r="M66" s="32">
        <f>IF(K66&lt;=0,0,IFERROR(ROUND(SUMIFS(I:I,D:D,D66,B:B,"Compra")/SUMIFS(G:G,D:D,D66,B:B,"Compra"),2),""))</f>
        <v>10.130000000000001</v>
      </c>
    </row>
    <row r="67" spans="2:13" ht="15.75" x14ac:dyDescent="0.25">
      <c r="B67" s="34" t="s">
        <v>1665</v>
      </c>
      <c r="C67" s="86">
        <v>44302</v>
      </c>
      <c r="D67" s="16" t="s">
        <v>165</v>
      </c>
      <c r="E67" s="13" t="str">
        <f>VLOOKUP(Tabela13[[#This Row],[Código]],'COTAÇÃO ATUAL'!C:F,4,0)</f>
        <v>XP LOG FUNDO DE INVESTIMENTO IMOBILIARIO-FII</v>
      </c>
      <c r="F67" s="13" t="s">
        <v>1662</v>
      </c>
      <c r="G67" s="13">
        <v>5</v>
      </c>
      <c r="H67" s="14">
        <v>113.98</v>
      </c>
      <c r="I67" s="33">
        <f>Tabela13[[#This Row],[Quantidade]]*Tabela13[[#This Row],[Cotação na Compra ou Venda]]</f>
        <v>569.9</v>
      </c>
      <c r="J67" s="82">
        <f>SUMIFS(G:G,D:D,D67,B:B,"Compra")-(SUMIFS(G:G,D:D,D67,B:B,"Venda"))</f>
        <v>34</v>
      </c>
      <c r="K67" s="83">
        <f>SUMIFS(G:G,D:D,D67,B:B,"Compra")-(SUMIFS(G:G,D:D,D67,B:B,"Venda"))</f>
        <v>34</v>
      </c>
      <c r="L67" s="33">
        <f t="shared" si="11"/>
        <v>3825.68</v>
      </c>
      <c r="M67" s="33">
        <f>IF(K67&lt;=0,0,IFERROR(ROUND(SUMIFS(I:I,D:D,D67,B:B,"Compra")/SUMIFS(G:G,D:D,D67,B:B,"Compra"),2),""))</f>
        <v>112.52</v>
      </c>
    </row>
    <row r="68" spans="2:13" ht="15.75" x14ac:dyDescent="0.25">
      <c r="B68" s="34" t="s">
        <v>1665</v>
      </c>
      <c r="C68" s="86">
        <v>44319</v>
      </c>
      <c r="D68" s="16" t="s">
        <v>57</v>
      </c>
      <c r="E68" s="12" t="str">
        <f>VLOOKUP(Tabela13[[#This Row],[Código]],'COTAÇÃO ATUAL'!C:F,4,0)</f>
        <v>HECTARE CE - FI IMOBILIARIO</v>
      </c>
      <c r="F68" s="13" t="s">
        <v>1662</v>
      </c>
      <c r="G68" s="12">
        <v>5</v>
      </c>
      <c r="H68" s="11">
        <v>147.29</v>
      </c>
      <c r="I68" s="32">
        <f>Tabela13[[#This Row],[Quantidade]]*Tabela13[[#This Row],[Cotação na Compra ou Venda]]</f>
        <v>736.44999999999993</v>
      </c>
      <c r="J68" s="80">
        <f>SUMIFS(G:G,D:D,D68,B:B,"Compra")-(SUMIFS(G:G,D:D,D68,B:B,"Venda"))</f>
        <v>35</v>
      </c>
      <c r="K68" s="81">
        <f>SUMIFS(G:G,D:D,D68,B:B,"Compra")-(SUMIFS(G:G,D:D,D68,B:B,"Venda"))</f>
        <v>35</v>
      </c>
      <c r="L68" s="32">
        <f t="shared" ref="L68:L71" si="12">IF(K68&lt;=0,0,ROUND(M68*K68,2))</f>
        <v>4424.7</v>
      </c>
      <c r="M68" s="32">
        <f>IF(K68&lt;=0,0,IFERROR(ROUND(SUMIFS(I:I,D:D,D68,B:B,"Compra")/SUMIFS(G:G,D:D,D68,B:B,"Compra"),2),""))</f>
        <v>126.42</v>
      </c>
    </row>
    <row r="69" spans="2:13" ht="15.75" x14ac:dyDescent="0.25">
      <c r="B69" s="34" t="s">
        <v>1665</v>
      </c>
      <c r="C69" s="86">
        <v>44319</v>
      </c>
      <c r="D69" s="16" t="s">
        <v>72</v>
      </c>
      <c r="E69" s="12" t="str">
        <f>VLOOKUP(Tabela13[[#This Row],[Código]],'COTAÇÃO ATUAL'!C:F,4,0)</f>
        <v>FI IMOBILIARIO IRIDIUM RECEBIVEIS IMOBILIARIOS</v>
      </c>
      <c r="F69" s="13" t="s">
        <v>1662</v>
      </c>
      <c r="G69" s="12">
        <v>2</v>
      </c>
      <c r="H69" s="11">
        <v>138.96</v>
      </c>
      <c r="I69" s="32">
        <f>Tabela13[[#This Row],[Quantidade]]*Tabela13[[#This Row],[Cotação na Compra ou Venda]]</f>
        <v>277.92</v>
      </c>
      <c r="J69" s="80">
        <f>SUMIFS(G:G,D:D,D69,B:B,"Compra")-(SUMIFS(G:G,D:D,D69,B:B,"Venda"))</f>
        <v>25</v>
      </c>
      <c r="K69" s="81">
        <f>SUMIFS(G:G,D:D,D69,B:B,"Compra")-(SUMIFS(G:G,D:D,D69,B:B,"Venda"))</f>
        <v>25</v>
      </c>
      <c r="L69" s="32">
        <f t="shared" si="12"/>
        <v>2709</v>
      </c>
      <c r="M69" s="32">
        <f>IF(K69&lt;=0,0,IFERROR(ROUND(SUMIFS(I:I,D:D,D69,B:B,"Compra")/SUMIFS(G:G,D:D,D69,B:B,"Compra"),2),""))</f>
        <v>108.36</v>
      </c>
    </row>
    <row r="70" spans="2:13" ht="15.75" x14ac:dyDescent="0.25">
      <c r="B70" s="34" t="s">
        <v>1665</v>
      </c>
      <c r="C70" s="86">
        <v>44319</v>
      </c>
      <c r="D70" s="15" t="s">
        <v>94</v>
      </c>
      <c r="E70" s="12" t="str">
        <f>VLOOKUP(Tabela13[[#This Row],[Código]],'COTAÇÃO ATUAL'!C:F,4,0)</f>
        <v>MAXI RENDA FUNDO DE INVESTIMENTO IMOBILIARIO - FII</v>
      </c>
      <c r="F70" s="13" t="s">
        <v>1662</v>
      </c>
      <c r="G70" s="12">
        <v>7</v>
      </c>
      <c r="H70" s="11">
        <v>10.5</v>
      </c>
      <c r="I70" s="32">
        <f>Tabela13[[#This Row],[Quantidade]]*Tabela13[[#This Row],[Cotação na Compra ou Venda]]</f>
        <v>73.5</v>
      </c>
      <c r="J70" s="80">
        <f>SUMIFS(G:G,D:D,D70,B:B,"Compra")-(SUMIFS(G:G,D:D,D70,B:B,"Venda"))</f>
        <v>233</v>
      </c>
      <c r="K70" s="81">
        <f>SUMIFS(G:G,D:D,D70,B:B,"Compra")-(SUMIFS(G:G,D:D,D70,B:B,"Venda"))</f>
        <v>233</v>
      </c>
      <c r="L70" s="32">
        <f t="shared" si="12"/>
        <v>2360.29</v>
      </c>
      <c r="M70" s="32">
        <f>IF(K70&lt;=0,0,IFERROR(ROUND(SUMIFS(I:I,D:D,D70,B:B,"Compra")/SUMIFS(G:G,D:D,D70,B:B,"Compra"),2),""))</f>
        <v>10.130000000000001</v>
      </c>
    </row>
    <row r="71" spans="2:13" ht="15.75" x14ac:dyDescent="0.25">
      <c r="B71" s="34" t="s">
        <v>1665</v>
      </c>
      <c r="C71" s="84">
        <v>44342</v>
      </c>
      <c r="D71" s="16" t="s">
        <v>166</v>
      </c>
      <c r="E71" s="13" t="str">
        <f>VLOOKUP(Tabela13[[#This Row],[Código]],'COTAÇÃO ATUAL'!C:F,4,0)</f>
        <v>XP MALLS FUNDO DE INVESTIMENTO IMOBILIARIO</v>
      </c>
      <c r="F71" s="13" t="s">
        <v>1662</v>
      </c>
      <c r="G71" s="13">
        <v>3</v>
      </c>
      <c r="H71" s="14">
        <v>102.2</v>
      </c>
      <c r="I71" s="33">
        <f>Tabela13[[#This Row],[Quantidade]]*Tabela13[[#This Row],[Cotação na Compra ou Venda]]</f>
        <v>306.60000000000002</v>
      </c>
      <c r="J71" s="82">
        <f>SUMIFS(G:G,D:D,D71,B:B,"Compra")-(SUMIFS(G:G,D:D,D71,B:B,"Venda"))</f>
        <v>22</v>
      </c>
      <c r="K71" s="83">
        <f>SUMIFS(G:G,D:D,D71,B:B,"Compra")-(SUMIFS(G:G,D:D,D71,B:B,"Venda"))</f>
        <v>22</v>
      </c>
      <c r="L71" s="33">
        <f t="shared" si="12"/>
        <v>2317.6999999999998</v>
      </c>
      <c r="M71" s="33">
        <f>IF(K71&lt;=0,0,IFERROR(ROUND(SUMIFS(I:I,D:D,D71,B:B,"Compra")/SUMIFS(G:G,D:D,D71,B:B,"Compra"),2),""))</f>
        <v>105.35</v>
      </c>
    </row>
    <row r="72" spans="2:13" ht="15.75" x14ac:dyDescent="0.25">
      <c r="B72" s="34" t="s">
        <v>1665</v>
      </c>
      <c r="C72" s="86">
        <v>44377</v>
      </c>
      <c r="D72" s="15" t="s">
        <v>22</v>
      </c>
      <c r="E72" s="12" t="str">
        <f>VLOOKUP(Tabela13[[#This Row],[Código]],'COTAÇÃO ATUAL'!C:F,4,0)</f>
        <v>BTG PACTUAL LOGISTICA FI IMOBILIARIO</v>
      </c>
      <c r="F72" s="13" t="s">
        <v>1662</v>
      </c>
      <c r="G72" s="12">
        <v>4</v>
      </c>
      <c r="H72" s="11">
        <v>105.57</v>
      </c>
      <c r="I72" s="32">
        <f>Tabela13[[#This Row],[Quantidade]]*Tabela13[[#This Row],[Cotação na Compra ou Venda]]</f>
        <v>422.28</v>
      </c>
      <c r="J72" s="80">
        <f>SUMIFS(G:G,D:D,D72,B:B,"Compra")-(SUMIFS(G:G,D:D,D72,B:B,"Venda"))</f>
        <v>25</v>
      </c>
      <c r="K72" s="81">
        <f>SUMIFS(G:G,D:D,D72,B:B,"Compra")-(SUMIFS(G:G,D:D,D72,B:B,"Venda"))</f>
        <v>25</v>
      </c>
      <c r="L72" s="32">
        <f t="shared" ref="L72:L76" si="13">IF(K72&lt;=0,0,ROUND(M72*K72,2))</f>
        <v>2708.5</v>
      </c>
      <c r="M72" s="32">
        <f>IF(K72&lt;=0,0,IFERROR(ROUND(SUMIFS(I:I,D:D,D72,B:B,"Compra")/SUMIFS(G:G,D:D,D72,B:B,"Compra"),2),""))</f>
        <v>108.34</v>
      </c>
    </row>
    <row r="73" spans="2:13" ht="15.75" x14ac:dyDescent="0.25">
      <c r="B73" s="34" t="s">
        <v>1665</v>
      </c>
      <c r="C73" s="86">
        <v>44354</v>
      </c>
      <c r="D73" s="16" t="s">
        <v>57</v>
      </c>
      <c r="E73" s="12" t="str">
        <f>VLOOKUP(Tabela13[[#This Row],[Código]],'COTAÇÃO ATUAL'!C:F,4,0)</f>
        <v>HECTARE CE - FI IMOBILIARIO</v>
      </c>
      <c r="F73" s="13" t="s">
        <v>1662</v>
      </c>
      <c r="G73" s="12">
        <v>4</v>
      </c>
      <c r="H73" s="11">
        <v>140.04</v>
      </c>
      <c r="I73" s="32">
        <f>Tabela13[[#This Row],[Quantidade]]*Tabela13[[#This Row],[Cotação na Compra ou Venda]]</f>
        <v>560.16</v>
      </c>
      <c r="J73" s="80">
        <f>SUMIFS(G:G,D:D,D73,B:B,"Compra")-(SUMIFS(G:G,D:D,D73,B:B,"Venda"))</f>
        <v>35</v>
      </c>
      <c r="K73" s="81">
        <f>SUMIFS(G:G,D:D,D73,B:B,"Compra")-(SUMIFS(G:G,D:D,D73,B:B,"Venda"))</f>
        <v>35</v>
      </c>
      <c r="L73" s="32">
        <f t="shared" si="13"/>
        <v>4424.7</v>
      </c>
      <c r="M73" s="32">
        <f>IF(K73&lt;=0,0,IFERROR(ROUND(SUMIFS(I:I,D:D,D73,B:B,"Compra")/SUMIFS(G:G,D:D,D73,B:B,"Compra"),2),""))</f>
        <v>126.42</v>
      </c>
    </row>
    <row r="74" spans="2:13" ht="15.75" x14ac:dyDescent="0.25">
      <c r="B74" s="34" t="s">
        <v>1665</v>
      </c>
      <c r="C74" s="86">
        <v>44363</v>
      </c>
      <c r="D74" s="16" t="s">
        <v>57</v>
      </c>
      <c r="E74" s="12" t="str">
        <f>VLOOKUP(Tabela13[[#This Row],[Código]],'COTAÇÃO ATUAL'!C:F,4,0)</f>
        <v>HECTARE CE - FI IMOBILIARIO</v>
      </c>
      <c r="F74" s="13" t="s">
        <v>1662</v>
      </c>
      <c r="G74" s="12">
        <v>3</v>
      </c>
      <c r="H74" s="11">
        <v>135.27000000000001</v>
      </c>
      <c r="I74" s="32">
        <f>Tabela13[[#This Row],[Quantidade]]*Tabela13[[#This Row],[Cotação na Compra ou Venda]]</f>
        <v>405.81000000000006</v>
      </c>
      <c r="J74" s="80">
        <f>SUMIFS(G:G,D:D,D74,B:B,"Compra")-(SUMIFS(G:G,D:D,D74,B:B,"Venda"))</f>
        <v>35</v>
      </c>
      <c r="K74" s="81">
        <f>SUMIFS(G:G,D:D,D74,B:B,"Compra")-(SUMIFS(G:G,D:D,D74,B:B,"Venda"))</f>
        <v>35</v>
      </c>
      <c r="L74" s="32">
        <f t="shared" si="13"/>
        <v>4424.7</v>
      </c>
      <c r="M74" s="32">
        <f>IF(K74&lt;=0,0,IFERROR(ROUND(SUMIFS(I:I,D:D,D74,B:B,"Compra")/SUMIFS(G:G,D:D,D74,B:B,"Compra"),2),""))</f>
        <v>126.42</v>
      </c>
    </row>
    <row r="75" spans="2:13" ht="15.75" x14ac:dyDescent="0.25">
      <c r="B75" s="34" t="s">
        <v>1665</v>
      </c>
      <c r="C75" s="86">
        <v>44354</v>
      </c>
      <c r="D75" s="15" t="s">
        <v>94</v>
      </c>
      <c r="E75" s="12" t="str">
        <f>VLOOKUP(Tabela13[[#This Row],[Código]],'COTAÇÃO ATUAL'!C:F,4,0)</f>
        <v>MAXI RENDA FUNDO DE INVESTIMENTO IMOBILIARIO - FII</v>
      </c>
      <c r="F75" s="13" t="s">
        <v>1662</v>
      </c>
      <c r="G75" s="12">
        <v>8</v>
      </c>
      <c r="H75" s="11">
        <v>10.41</v>
      </c>
      <c r="I75" s="32">
        <f>Tabela13[[#This Row],[Quantidade]]*Tabela13[[#This Row],[Cotação na Compra ou Venda]]</f>
        <v>83.28</v>
      </c>
      <c r="J75" s="80">
        <f>SUMIFS(G:G,D:D,D75,B:B,"Compra")-(SUMIFS(G:G,D:D,D75,B:B,"Venda"))</f>
        <v>233</v>
      </c>
      <c r="K75" s="81">
        <f>SUMIFS(G:G,D:D,D75,B:B,"Compra")-(SUMIFS(G:G,D:D,D75,B:B,"Venda"))</f>
        <v>233</v>
      </c>
      <c r="L75" s="32">
        <f t="shared" si="13"/>
        <v>2360.29</v>
      </c>
      <c r="M75" s="32">
        <f>IF(K75&lt;=0,0,IFERROR(ROUND(SUMIFS(I:I,D:D,D75,B:B,"Compra")/SUMIFS(G:G,D:D,D75,B:B,"Compra"),2),""))</f>
        <v>10.130000000000001</v>
      </c>
    </row>
    <row r="76" spans="2:13" ht="15.75" x14ac:dyDescent="0.25">
      <c r="B76" s="34" t="s">
        <v>1665</v>
      </c>
      <c r="C76" s="84">
        <v>44377</v>
      </c>
      <c r="D76" s="16" t="s">
        <v>166</v>
      </c>
      <c r="E76" s="13" t="str">
        <f>VLOOKUP(Tabela13[[#This Row],[Código]],'COTAÇÃO ATUAL'!C:F,4,0)</f>
        <v>XP MALLS FUNDO DE INVESTIMENTO IMOBILIARIO</v>
      </c>
      <c r="F76" s="13" t="s">
        <v>1662</v>
      </c>
      <c r="G76" s="13">
        <v>4</v>
      </c>
      <c r="H76" s="14">
        <v>103.89</v>
      </c>
      <c r="I76" s="33">
        <f>Tabela13[[#This Row],[Quantidade]]*Tabela13[[#This Row],[Cotação na Compra ou Venda]]</f>
        <v>415.56</v>
      </c>
      <c r="J76" s="82">
        <f>SUMIFS(G:G,D:D,D76,B:B,"Compra")-(SUMIFS(G:G,D:D,D76,B:B,"Venda"))</f>
        <v>22</v>
      </c>
      <c r="K76" s="83">
        <f>SUMIFS(G:G,D:D,D76,B:B,"Compra")-(SUMIFS(G:G,D:D,D76,B:B,"Venda"))</f>
        <v>22</v>
      </c>
      <c r="L76" s="33">
        <f t="shared" si="13"/>
        <v>2317.6999999999998</v>
      </c>
      <c r="M76" s="33">
        <f>IF(K76&lt;=0,0,IFERROR(ROUND(SUMIFS(I:I,D:D,D76,B:B,"Compra")/SUMIFS(G:G,D:D,D76,B:B,"Compra"),2),""))</f>
        <v>105.35</v>
      </c>
    </row>
    <row r="77" spans="2:13" ht="15.75" x14ac:dyDescent="0.25">
      <c r="B77" s="34" t="s">
        <v>1665</v>
      </c>
      <c r="C77" s="86">
        <v>44403</v>
      </c>
      <c r="D77" s="15" t="s">
        <v>22</v>
      </c>
      <c r="E77" s="12" t="str">
        <f>VLOOKUP(Tabela13[[#This Row],[Código]],'COTAÇÃO ATUAL'!C:F,4,0)</f>
        <v>BTG PACTUAL LOGISTICA FI IMOBILIARIO</v>
      </c>
      <c r="F77" s="13" t="s">
        <v>1662</v>
      </c>
      <c r="G77" s="12">
        <v>3</v>
      </c>
      <c r="H77" s="11">
        <v>110.99</v>
      </c>
      <c r="I77" s="32">
        <f>Tabela13[[#This Row],[Quantidade]]*Tabela13[[#This Row],[Cotação na Compra ou Venda]]</f>
        <v>332.96999999999997</v>
      </c>
      <c r="J77" s="80">
        <f>SUMIFS(G:G,D:D,D77,B:B,"Compra")-(SUMIFS(G:G,D:D,D77,B:B,"Venda"))</f>
        <v>25</v>
      </c>
      <c r="K77" s="81">
        <f>SUMIFS(G:G,D:D,D77,B:B,"Compra")-(SUMIFS(G:G,D:D,D77,B:B,"Venda"))</f>
        <v>25</v>
      </c>
      <c r="L77" s="32">
        <f t="shared" ref="L77:L85" si="14">IF(K77&lt;=0,0,ROUND(M77*K77,2))</f>
        <v>2708.5</v>
      </c>
      <c r="M77" s="32">
        <f>IF(K77&lt;=0,0,IFERROR(ROUND(SUMIFS(I:I,D:D,D77,B:B,"Compra")/SUMIFS(G:G,D:D,D77,B:B,"Compra"),2),""))</f>
        <v>108.34</v>
      </c>
    </row>
    <row r="78" spans="2:13" ht="15.75" x14ac:dyDescent="0.25">
      <c r="B78" s="34" t="s">
        <v>1665</v>
      </c>
      <c r="C78" s="86">
        <v>44382</v>
      </c>
      <c r="D78" s="16" t="s">
        <v>57</v>
      </c>
      <c r="E78" s="12" t="str">
        <f>VLOOKUP(Tabela13[[#This Row],[Código]],'COTAÇÃO ATUAL'!C:F,4,0)</f>
        <v>HECTARE CE - FI IMOBILIARIO</v>
      </c>
      <c r="F78" s="13" t="s">
        <v>1662</v>
      </c>
      <c r="G78" s="12">
        <v>5</v>
      </c>
      <c r="H78" s="11">
        <v>137.59</v>
      </c>
      <c r="I78" s="32">
        <f>Tabela13[[#This Row],[Quantidade]]*Tabela13[[#This Row],[Cotação na Compra ou Venda]]</f>
        <v>687.95</v>
      </c>
      <c r="J78" s="80">
        <f>SUMIFS(G:G,D:D,D78,B:B,"Compra")-(SUMIFS(G:G,D:D,D78,B:B,"Venda"))</f>
        <v>35</v>
      </c>
      <c r="K78" s="81">
        <f>SUMIFS(G:G,D:D,D78,B:B,"Compra")-(SUMIFS(G:G,D:D,D78,B:B,"Venda"))</f>
        <v>35</v>
      </c>
      <c r="L78" s="32">
        <f t="shared" si="14"/>
        <v>4424.7</v>
      </c>
      <c r="M78" s="32">
        <f>IF(K78&lt;=0,0,IFERROR(ROUND(SUMIFS(I:I,D:D,D78,B:B,"Compra")/SUMIFS(G:G,D:D,D78,B:B,"Compra"),2),""))</f>
        <v>126.42</v>
      </c>
    </row>
    <row r="79" spans="2:13" ht="15.75" x14ac:dyDescent="0.25">
      <c r="B79" s="34" t="s">
        <v>1665</v>
      </c>
      <c r="C79" s="86">
        <v>44403</v>
      </c>
      <c r="D79" s="16" t="s">
        <v>57</v>
      </c>
      <c r="E79" s="12" t="str">
        <f>VLOOKUP(Tabela13[[#This Row],[Código]],'COTAÇÃO ATUAL'!C:F,4,0)</f>
        <v>HECTARE CE - FI IMOBILIARIO</v>
      </c>
      <c r="F79" s="13" t="s">
        <v>1662</v>
      </c>
      <c r="G79" s="12">
        <v>3</v>
      </c>
      <c r="H79" s="11">
        <v>133.80000000000001</v>
      </c>
      <c r="I79" s="32">
        <f>Tabela13[[#This Row],[Quantidade]]*Tabela13[[#This Row],[Cotação na Compra ou Venda]]</f>
        <v>401.40000000000003</v>
      </c>
      <c r="J79" s="80">
        <f>SUMIFS(G:G,D:D,D79,B:B,"Compra")-(SUMIFS(G:G,D:D,D79,B:B,"Venda"))</f>
        <v>35</v>
      </c>
      <c r="K79" s="81">
        <f>SUMIFS(G:G,D:D,D79,B:B,"Compra")-(SUMIFS(G:G,D:D,D79,B:B,"Venda"))</f>
        <v>35</v>
      </c>
      <c r="L79" s="32">
        <f t="shared" si="14"/>
        <v>4424.7</v>
      </c>
      <c r="M79" s="32">
        <f>IF(K79&lt;=0,0,IFERROR(ROUND(SUMIFS(I:I,D:D,D79,B:B,"Compra")/SUMIFS(G:G,D:D,D79,B:B,"Compra"),2),""))</f>
        <v>126.42</v>
      </c>
    </row>
    <row r="80" spans="2:13" ht="15.75" x14ac:dyDescent="0.25">
      <c r="B80" s="34" t="s">
        <v>1665</v>
      </c>
      <c r="C80" s="86">
        <v>44403</v>
      </c>
      <c r="D80" s="15" t="s">
        <v>94</v>
      </c>
      <c r="E80" s="12" t="str">
        <f>VLOOKUP(Tabela13[[#This Row],[Código]],'COTAÇÃO ATUAL'!C:F,4,0)</f>
        <v>MAXI RENDA FUNDO DE INVESTIMENTO IMOBILIARIO - FII</v>
      </c>
      <c r="F80" s="13" t="s">
        <v>1662</v>
      </c>
      <c r="G80" s="12">
        <v>50</v>
      </c>
      <c r="H80" s="11">
        <v>10.199999999999999</v>
      </c>
      <c r="I80" s="32">
        <f>Tabela13[[#This Row],[Quantidade]]*Tabela13[[#This Row],[Cotação na Compra ou Venda]]</f>
        <v>509.99999999999994</v>
      </c>
      <c r="J80" s="80">
        <f>SUMIFS(G:G,D:D,D80,B:B,"Compra")-(SUMIFS(G:G,D:D,D80,B:B,"Venda"))</f>
        <v>233</v>
      </c>
      <c r="K80" s="81">
        <f>SUMIFS(G:G,D:D,D80,B:B,"Compra")-(SUMIFS(G:G,D:D,D80,B:B,"Venda"))</f>
        <v>233</v>
      </c>
      <c r="L80" s="32">
        <f t="shared" si="14"/>
        <v>2360.29</v>
      </c>
      <c r="M80" s="32">
        <f>IF(K80&lt;=0,0,IFERROR(ROUND(SUMIFS(I:I,D:D,D80,B:B,"Compra")/SUMIFS(G:G,D:D,D80,B:B,"Compra"),2),""))</f>
        <v>10.130000000000001</v>
      </c>
    </row>
    <row r="81" spans="2:13" ht="15.75" x14ac:dyDescent="0.25">
      <c r="B81" s="34" t="s">
        <v>1665</v>
      </c>
      <c r="C81" s="86">
        <v>44382</v>
      </c>
      <c r="D81" s="15" t="s">
        <v>124</v>
      </c>
      <c r="E81" s="12" t="str">
        <f>VLOOKUP(Tabela13[[#This Row],[Código]],'COTAÇÃO ATUAL'!C:F,4,0)</f>
        <v>FII RIO BRAVO RENDA VAREJO-FII</v>
      </c>
      <c r="F81" s="13" t="s">
        <v>1662</v>
      </c>
      <c r="G81" s="12">
        <v>2</v>
      </c>
      <c r="H81" s="11">
        <v>112.42</v>
      </c>
      <c r="I81" s="32">
        <f>Tabela13[[#This Row],[Quantidade]]*Tabela13[[#This Row],[Cotação na Compra ou Venda]]</f>
        <v>224.84</v>
      </c>
      <c r="J81" s="80">
        <f>SUMIFS(G:G,D:D,D81,B:B,"Compra")-(SUMIFS(G:G,D:D,D81,B:B,"Venda"))</f>
        <v>31</v>
      </c>
      <c r="K81" s="81">
        <f>SUMIFS(G:G,D:D,D81,B:B,"Compra")-(SUMIFS(G:G,D:D,D81,B:B,"Venda"))</f>
        <v>31</v>
      </c>
      <c r="L81" s="32">
        <f t="shared" si="14"/>
        <v>3304.6</v>
      </c>
      <c r="M81" s="32">
        <f>IF(K81&lt;=0,0,IFERROR(ROUND(SUMIFS(I:I,D:D,D81,B:B,"Compra")/SUMIFS(G:G,D:D,D81,B:B,"Compra"),2),""))</f>
        <v>106.6</v>
      </c>
    </row>
    <row r="82" spans="2:13" ht="15.75" x14ac:dyDescent="0.25">
      <c r="B82" s="34" t="s">
        <v>1665</v>
      </c>
      <c r="C82" s="86">
        <v>44403</v>
      </c>
      <c r="D82" s="15" t="s">
        <v>124</v>
      </c>
      <c r="E82" s="12" t="str">
        <f>VLOOKUP(Tabela13[[#This Row],[Código]],'COTAÇÃO ATUAL'!C:F,4,0)</f>
        <v>FII RIO BRAVO RENDA VAREJO-FII</v>
      </c>
      <c r="F82" s="13" t="s">
        <v>1662</v>
      </c>
      <c r="G82" s="12">
        <v>2</v>
      </c>
      <c r="H82" s="11">
        <v>114.9</v>
      </c>
      <c r="I82" s="32">
        <f>Tabela13[[#This Row],[Quantidade]]*Tabela13[[#This Row],[Cotação na Compra ou Venda]]</f>
        <v>229.8</v>
      </c>
      <c r="J82" s="80">
        <f>SUMIFS(G:G,D:D,D82,B:B,"Compra")-(SUMIFS(G:G,D:D,D82,B:B,"Venda"))</f>
        <v>31</v>
      </c>
      <c r="K82" s="81">
        <f>SUMIFS(G:G,D:D,D82,B:B,"Compra")-(SUMIFS(G:G,D:D,D82,B:B,"Venda"))</f>
        <v>31</v>
      </c>
      <c r="L82" s="32">
        <f t="shared" si="14"/>
        <v>3304.6</v>
      </c>
      <c r="M82" s="32">
        <f>IF(K82&lt;=0,0,IFERROR(ROUND(SUMIFS(I:I,D:D,D82,B:B,"Compra")/SUMIFS(G:G,D:D,D82,B:B,"Compra"),2),""))</f>
        <v>106.6</v>
      </c>
    </row>
    <row r="83" spans="2:13" ht="15.75" x14ac:dyDescent="0.25">
      <c r="B83" s="34" t="s">
        <v>1665</v>
      </c>
      <c r="C83" s="86">
        <v>44403</v>
      </c>
      <c r="D83" s="16" t="s">
        <v>151</v>
      </c>
      <c r="E83" s="12" t="str">
        <f>VLOOKUP(Tabela13[[#This Row],[Código]],'COTAÇÃO ATUAL'!C:F,4,0)</f>
        <v>VINCI OFFICES FDO INV IMOB - FII VINC COR</v>
      </c>
      <c r="F83" s="13" t="s">
        <v>1662</v>
      </c>
      <c r="G83" s="12">
        <v>3</v>
      </c>
      <c r="H83" s="11">
        <v>60.07</v>
      </c>
      <c r="I83" s="32">
        <f>Tabela13[[#This Row],[Quantidade]]*Tabela13[[#This Row],[Cotação na Compra ou Venda]]</f>
        <v>180.21</v>
      </c>
      <c r="J83" s="80">
        <f>SUMIFS(G:G,D:D,D83,B:B,"Compra")-(SUMIFS(G:G,D:D,D83,B:B,"Venda"))</f>
        <v>60</v>
      </c>
      <c r="K83" s="81">
        <f>SUMIFS(G:G,D:D,D83,B:B,"Compra")-(SUMIFS(G:G,D:D,D83,B:B,"Venda"))</f>
        <v>60</v>
      </c>
      <c r="L83" s="32">
        <f t="shared" si="14"/>
        <v>3229.8</v>
      </c>
      <c r="M83" s="32">
        <f>IF(K83&lt;=0,0,IFERROR(ROUND(SUMIFS(I:I,D:D,D83,B:B,"Compra")/SUMIFS(G:G,D:D,D83,B:B,"Compra"),2),""))</f>
        <v>53.83</v>
      </c>
    </row>
    <row r="84" spans="2:13" ht="15.75" x14ac:dyDescent="0.25">
      <c r="B84" s="34" t="s">
        <v>1665</v>
      </c>
      <c r="C84" s="86">
        <v>44382</v>
      </c>
      <c r="D84" s="16" t="s">
        <v>165</v>
      </c>
      <c r="E84" s="12" t="str">
        <f>VLOOKUP(Tabela13[[#This Row],[Código]],'COTAÇÃO ATUAL'!C:F,4,0)</f>
        <v>XP LOG FUNDO DE INVESTIMENTO IMOBILIARIO-FII</v>
      </c>
      <c r="F84" s="13" t="s">
        <v>1662</v>
      </c>
      <c r="G84" s="12">
        <v>3</v>
      </c>
      <c r="H84" s="11">
        <v>106.31</v>
      </c>
      <c r="I84" s="32">
        <f>Tabela13[[#This Row],[Quantidade]]*Tabela13[[#This Row],[Cotação na Compra ou Venda]]</f>
        <v>318.93</v>
      </c>
      <c r="J84" s="80">
        <f>SUMIFS(G:G,D:D,D84,B:B,"Compra")-(SUMIFS(G:G,D:D,D84,B:B,"Venda"))</f>
        <v>34</v>
      </c>
      <c r="K84" s="81">
        <f>SUMIFS(G:G,D:D,D84,B:B,"Compra")-(SUMIFS(G:G,D:D,D84,B:B,"Venda"))</f>
        <v>34</v>
      </c>
      <c r="L84" s="32">
        <f t="shared" si="14"/>
        <v>3825.68</v>
      </c>
      <c r="M84" s="32">
        <f>IF(K84&lt;=0,0,IFERROR(ROUND(SUMIFS(I:I,D:D,D84,B:B,"Compra")/SUMIFS(G:G,D:D,D84,B:B,"Compra"),2),""))</f>
        <v>112.52</v>
      </c>
    </row>
    <row r="85" spans="2:13" ht="15.75" x14ac:dyDescent="0.25">
      <c r="B85" s="34" t="s">
        <v>1665</v>
      </c>
      <c r="C85" s="84">
        <v>44403</v>
      </c>
      <c r="D85" s="16" t="s">
        <v>165</v>
      </c>
      <c r="E85" s="13" t="str">
        <f>VLOOKUP(Tabela13[[#This Row],[Código]],'COTAÇÃO ATUAL'!C:F,4,0)</f>
        <v>XP LOG FUNDO DE INVESTIMENTO IMOBILIARIO-FII</v>
      </c>
      <c r="F85" s="13" t="s">
        <v>1662</v>
      </c>
      <c r="G85" s="13">
        <v>2</v>
      </c>
      <c r="H85" s="14">
        <v>112.67</v>
      </c>
      <c r="I85" s="33">
        <f>Tabela13[[#This Row],[Quantidade]]*Tabela13[[#This Row],[Cotação na Compra ou Venda]]</f>
        <v>225.34</v>
      </c>
      <c r="J85" s="82">
        <f>SUMIFS(G:G,D:D,D85,B:B,"Compra")-(SUMIFS(G:G,D:D,D85,B:B,"Venda"))</f>
        <v>34</v>
      </c>
      <c r="K85" s="83">
        <f>SUMIFS(G:G,D:D,D85,B:B,"Compra")-(SUMIFS(G:G,D:D,D85,B:B,"Venda"))</f>
        <v>34</v>
      </c>
      <c r="L85" s="33">
        <f t="shared" si="14"/>
        <v>3825.68</v>
      </c>
      <c r="M85" s="33">
        <f>IF(K85&lt;=0,0,IFERROR(ROUND(SUMIFS(I:I,D:D,D85,B:B,"Compra")/SUMIFS(G:G,D:D,D85,B:B,"Compra"),2),""))</f>
        <v>112.52</v>
      </c>
    </row>
    <row r="86" spans="2:13" ht="15.75" x14ac:dyDescent="0.25">
      <c r="B86" s="34" t="s">
        <v>1665</v>
      </c>
      <c r="C86" s="86">
        <v>44432</v>
      </c>
      <c r="D86" s="16" t="s">
        <v>64</v>
      </c>
      <c r="E86" s="12" t="str">
        <f>VLOOKUP(Tabela13[[#This Row],[Código]],'COTAÇÃO ATUAL'!C:F,4,0)</f>
        <v>CSHG REAL ESTATE FI IMOBILIARIO-FII</v>
      </c>
      <c r="F86" s="13" t="s">
        <v>1662</v>
      </c>
      <c r="G86" s="12">
        <v>3</v>
      </c>
      <c r="H86" s="11">
        <v>129.88999999999999</v>
      </c>
      <c r="I86" s="32">
        <f>Tabela13[[#This Row],[Quantidade]]*Tabela13[[#This Row],[Cotação na Compra ou Venda]]</f>
        <v>389.66999999999996</v>
      </c>
      <c r="J86" s="80">
        <f>SUMIFS(G:G,D:D,D86,B:B,"Compra")-(SUMIFS(G:G,D:D,D86,B:B,"Venda"))</f>
        <v>28</v>
      </c>
      <c r="K86" s="81">
        <f>SUMIFS(G:G,D:D,D86,B:B,"Compra")-(SUMIFS(G:G,D:D,D86,B:B,"Venda"))</f>
        <v>28</v>
      </c>
      <c r="L86" s="32">
        <f t="shared" ref="L86:L90" si="15">IF(K86&lt;=0,0,ROUND(M86*K86,2))</f>
        <v>3897.88</v>
      </c>
      <c r="M86" s="32">
        <f>IF(K86&lt;=0,0,IFERROR(ROUND(SUMIFS(I:I,D:D,D86,B:B,"Compra")/SUMIFS(G:G,D:D,D86,B:B,"Compra"),2),""))</f>
        <v>139.21</v>
      </c>
    </row>
    <row r="87" spans="2:13" ht="15.75" x14ac:dyDescent="0.25">
      <c r="B87" s="34" t="s">
        <v>1665</v>
      </c>
      <c r="C87" s="86">
        <v>44426</v>
      </c>
      <c r="D87" s="16" t="s">
        <v>72</v>
      </c>
      <c r="E87" s="12" t="str">
        <f>VLOOKUP(Tabela13[[#This Row],[Código]],'COTAÇÃO ATUAL'!C:F,4,0)</f>
        <v>FI IMOBILIARIO IRIDIUM RECEBIVEIS IMOBILIARIOS</v>
      </c>
      <c r="F87" s="13" t="s">
        <v>1662</v>
      </c>
      <c r="G87" s="12">
        <v>3</v>
      </c>
      <c r="H87" s="11">
        <v>112.587</v>
      </c>
      <c r="I87" s="32">
        <f>Tabela13[[#This Row],[Quantidade]]*Tabela13[[#This Row],[Cotação na Compra ou Venda]]</f>
        <v>337.76100000000002</v>
      </c>
      <c r="J87" s="80">
        <f>SUMIFS(G:G,D:D,D87,B:B,"Compra")-(SUMIFS(G:G,D:D,D87,B:B,"Venda"))</f>
        <v>25</v>
      </c>
      <c r="K87" s="81">
        <f>SUMIFS(G:G,D:D,D87,B:B,"Compra")-(SUMIFS(G:G,D:D,D87,B:B,"Venda"))</f>
        <v>25</v>
      </c>
      <c r="L87" s="32">
        <f t="shared" si="15"/>
        <v>2709</v>
      </c>
      <c r="M87" s="32">
        <f>IF(K87&lt;=0,0,IFERROR(ROUND(SUMIFS(I:I,D:D,D87,B:B,"Compra")/SUMIFS(G:G,D:D,D87,B:B,"Compra"),2),""))</f>
        <v>108.36</v>
      </c>
    </row>
    <row r="88" spans="2:13" ht="15.75" x14ac:dyDescent="0.25">
      <c r="B88" s="34" t="s">
        <v>1665</v>
      </c>
      <c r="C88" s="86">
        <v>44432</v>
      </c>
      <c r="D88" s="16" t="s">
        <v>84</v>
      </c>
      <c r="E88" s="12" t="str">
        <f>VLOOKUP(Tabela13[[#This Row],[Código]],'COTAÇÃO ATUAL'!C:F,4,0)</f>
        <v>FUNDO DE INVESTIMENTO IMOBILIARIO - VBI LOGISTICO</v>
      </c>
      <c r="F88" s="13" t="s">
        <v>1662</v>
      </c>
      <c r="G88" s="12">
        <v>3</v>
      </c>
      <c r="H88" s="11">
        <v>100.8</v>
      </c>
      <c r="I88" s="32">
        <f>Tabela13[[#This Row],[Quantidade]]*Tabela13[[#This Row],[Cotação na Compra ou Venda]]</f>
        <v>302.39999999999998</v>
      </c>
      <c r="J88" s="80">
        <f>SUMIFS(G:G,D:D,D88,B:B,"Compra")-(SUMIFS(G:G,D:D,D88,B:B,"Venda"))</f>
        <v>29</v>
      </c>
      <c r="K88" s="81">
        <f>SUMIFS(G:G,D:D,D88,B:B,"Compra")-(SUMIFS(G:G,D:D,D88,B:B,"Venda"))</f>
        <v>29</v>
      </c>
      <c r="L88" s="32">
        <f t="shared" si="15"/>
        <v>3103.29</v>
      </c>
      <c r="M88" s="32">
        <f>IF(K88&lt;=0,0,IFERROR(ROUND(SUMIFS(I:I,D:D,D88,B:B,"Compra")/SUMIFS(G:G,D:D,D88,B:B,"Compra"),2),""))</f>
        <v>107.01</v>
      </c>
    </row>
    <row r="89" spans="2:13" ht="15.75" x14ac:dyDescent="0.25">
      <c r="B89" s="34" t="s">
        <v>1665</v>
      </c>
      <c r="C89" s="86">
        <v>44432</v>
      </c>
      <c r="D89" s="16" t="s">
        <v>165</v>
      </c>
      <c r="E89" s="12" t="str">
        <f>VLOOKUP(Tabela13[[#This Row],[Código]],'COTAÇÃO ATUAL'!C:F,4,0)</f>
        <v>XP LOG FUNDO DE INVESTIMENTO IMOBILIARIO-FII</v>
      </c>
      <c r="F89" s="13" t="s">
        <v>1662</v>
      </c>
      <c r="G89" s="12">
        <v>2</v>
      </c>
      <c r="H89" s="11">
        <v>103.98</v>
      </c>
      <c r="I89" s="32">
        <f>Tabela13[[#This Row],[Quantidade]]*Tabela13[[#This Row],[Cotação na Compra ou Venda]]</f>
        <v>207.96</v>
      </c>
      <c r="J89" s="80">
        <f>SUMIFS(G:G,D:D,D89,B:B,"Compra")-(SUMIFS(G:G,D:D,D89,B:B,"Venda"))</f>
        <v>34</v>
      </c>
      <c r="K89" s="81">
        <f>SUMIFS(G:G,D:D,D89,B:B,"Compra")-(SUMIFS(G:G,D:D,D89,B:B,"Venda"))</f>
        <v>34</v>
      </c>
      <c r="L89" s="32">
        <f t="shared" si="15"/>
        <v>3825.68</v>
      </c>
      <c r="M89" s="32">
        <f>IF(K89&lt;=0,0,IFERROR(ROUND(SUMIFS(I:I,D:D,D89,B:B,"Compra")/SUMIFS(G:G,D:D,D89,B:B,"Compra"),2),""))</f>
        <v>112.52</v>
      </c>
    </row>
    <row r="90" spans="2:13" ht="15.75" x14ac:dyDescent="0.25">
      <c r="B90" s="34" t="s">
        <v>1665</v>
      </c>
      <c r="C90" s="84">
        <v>44432</v>
      </c>
      <c r="D90" s="16" t="s">
        <v>166</v>
      </c>
      <c r="E90" s="13" t="str">
        <f>VLOOKUP(Tabela13[[#This Row],[Código]],'COTAÇÃO ATUAL'!C:F,4,0)</f>
        <v>XP MALLS FUNDO DE INVESTIMENTO IMOBILIARIO</v>
      </c>
      <c r="F90" s="13" t="s">
        <v>1662</v>
      </c>
      <c r="G90" s="13">
        <v>2</v>
      </c>
      <c r="H90" s="14">
        <v>101.44</v>
      </c>
      <c r="I90" s="33">
        <f>Tabela13[[#This Row],[Quantidade]]*Tabela13[[#This Row],[Cotação na Compra ou Venda]]</f>
        <v>202.88</v>
      </c>
      <c r="J90" s="82">
        <f>SUMIFS(G:G,D:D,D90,B:B,"Compra")-(SUMIFS(G:G,D:D,D90,B:B,"Venda"))</f>
        <v>22</v>
      </c>
      <c r="K90" s="83">
        <f>SUMIFS(G:G,D:D,D90,B:B,"Compra")-(SUMIFS(G:G,D:D,D90,B:B,"Venda"))</f>
        <v>22</v>
      </c>
      <c r="L90" s="33">
        <f t="shared" si="15"/>
        <v>2317.6999999999998</v>
      </c>
      <c r="M90" s="33">
        <f>IF(K90&lt;=0,0,IFERROR(ROUND(SUMIFS(I:I,D:D,D90,B:B,"Compra")/SUMIFS(G:G,D:D,D90,B:B,"Compra"),2),""))</f>
        <v>105.35</v>
      </c>
    </row>
    <row r="91" spans="2:13" ht="15.75" x14ac:dyDescent="0.25">
      <c r="B91" s="34" t="s">
        <v>1665</v>
      </c>
      <c r="C91" s="86">
        <v>44440</v>
      </c>
      <c r="D91" s="16" t="s">
        <v>4</v>
      </c>
      <c r="E91" s="12" t="str">
        <f>VLOOKUP(Tabela13[[#This Row],[Código]],'COTAÇÃO ATUAL'!C:F,4,0)</f>
        <v>ALIANZA TRUST RENDA IMOBILIARIA FII</v>
      </c>
      <c r="F91" s="13" t="s">
        <v>1662</v>
      </c>
      <c r="G91" s="12">
        <v>7</v>
      </c>
      <c r="H91" s="11">
        <v>116.235</v>
      </c>
      <c r="I91" s="32">
        <f>Tabela13[[#This Row],[Quantidade]]*Tabela13[[#This Row],[Cotação na Compra ou Venda]]</f>
        <v>813.64499999999998</v>
      </c>
      <c r="J91" s="80">
        <f>SUMIFS(G:G,D:D,D91,B:B,"Compra")-(SUMIFS(G:G,D:D,D91,B:B,"Venda"))</f>
        <v>30</v>
      </c>
      <c r="K91" s="81">
        <f>SUMIFS(G:G,D:D,D91,B:B,"Compra")-(SUMIFS(G:G,D:D,D91,B:B,"Venda"))</f>
        <v>30</v>
      </c>
      <c r="L91" s="32">
        <f>IF(K91&lt;=0,0,ROUND(M91*K91,2))</f>
        <v>3328.8</v>
      </c>
      <c r="M91" s="32">
        <f>IF(K91&lt;=0,0,IFERROR(ROUND(SUMIFS(I:I,D:D,D91,B:B,"Compra")/SUMIFS(G:G,D:D,D91,B:B,"Compra"),2),""))</f>
        <v>110.96</v>
      </c>
    </row>
    <row r="92" spans="2:13" ht="15.75" x14ac:dyDescent="0.25">
      <c r="B92" s="34" t="s">
        <v>1665</v>
      </c>
      <c r="C92" s="86">
        <v>44467</v>
      </c>
      <c r="D92" s="16" t="s">
        <v>20</v>
      </c>
      <c r="E92" s="12" t="str">
        <f>VLOOKUP(Tabela13[[#This Row],[Código]],'COTAÇÃO ATUAL'!C:F,4,0)</f>
        <v>FII BTG PACTUAL CORPORATE OFFICE FUND</v>
      </c>
      <c r="F92" s="13" t="s">
        <v>1662</v>
      </c>
      <c r="G92" s="12">
        <v>1</v>
      </c>
      <c r="H92" s="11">
        <v>73.87</v>
      </c>
      <c r="I92" s="32">
        <f>Tabela13[[#This Row],[Quantidade]]*Tabela13[[#This Row],[Cotação na Compra ou Venda]]</f>
        <v>73.87</v>
      </c>
      <c r="J92" s="80">
        <f>SUMIFS(G:G,D:D,D92,B:B,"Compra")-(SUMIFS(G:G,D:D,D92,B:B,"Venda"))</f>
        <v>53</v>
      </c>
      <c r="K92" s="81">
        <f>SUMIFS(G:G,D:D,D92,B:B,"Compra")-(SUMIFS(G:G,D:D,D92,B:B,"Venda"))</f>
        <v>53</v>
      </c>
      <c r="L92" s="32">
        <f t="shared" ref="L92:L95" si="16">IF(K92&lt;=0,0,ROUND(M92*K92,2))</f>
        <v>3941.61</v>
      </c>
      <c r="M92" s="32">
        <f>IF(K92&lt;=0,0,IFERROR(ROUND(SUMIFS(I:I,D:D,D92,B:B,"Compra")/SUMIFS(G:G,D:D,D92,B:B,"Compra"),2),""))</f>
        <v>74.37</v>
      </c>
    </row>
    <row r="93" spans="2:13" ht="15.75" x14ac:dyDescent="0.25">
      <c r="B93" s="34" t="s">
        <v>1665</v>
      </c>
      <c r="C93" s="86">
        <v>44441</v>
      </c>
      <c r="D93" s="16" t="s">
        <v>62</v>
      </c>
      <c r="E93" s="12" t="str">
        <f>VLOOKUP(Tabela13[[#This Row],[Código]],'COTAÇÃO ATUAL'!C:F,4,0)</f>
        <v>CSHG LOGISTICA FND DE INVSTMNT IMBLR FII</v>
      </c>
      <c r="F93" s="13" t="s">
        <v>1662</v>
      </c>
      <c r="G93" s="12">
        <v>7</v>
      </c>
      <c r="H93" s="11">
        <v>161.98400000000001</v>
      </c>
      <c r="I93" s="32">
        <f>Tabela13[[#This Row],[Quantidade]]*Tabela13[[#This Row],[Cotação na Compra ou Venda]]</f>
        <v>1133.8880000000001</v>
      </c>
      <c r="J93" s="80">
        <f>SUMIFS(G:G,D:D,D93,B:B,"Compra")-(SUMIFS(G:G,D:D,D93,B:B,"Venda"))</f>
        <v>21</v>
      </c>
      <c r="K93" s="81">
        <f>SUMIFS(G:G,D:D,D93,B:B,"Compra")-(SUMIFS(G:G,D:D,D93,B:B,"Venda"))</f>
        <v>21</v>
      </c>
      <c r="L93" s="32">
        <f t="shared" si="16"/>
        <v>3494.19</v>
      </c>
      <c r="M93" s="32">
        <f>IF(K93&lt;=0,0,IFERROR(ROUND(SUMIFS(I:I,D:D,D93,B:B,"Compra")/SUMIFS(G:G,D:D,D93,B:B,"Compra"),2),""))</f>
        <v>166.39</v>
      </c>
    </row>
    <row r="94" spans="2:13" ht="15.75" x14ac:dyDescent="0.25">
      <c r="B94" s="34" t="s">
        <v>1665</v>
      </c>
      <c r="C94" s="86">
        <v>44461</v>
      </c>
      <c r="D94" s="15" t="s">
        <v>94</v>
      </c>
      <c r="E94" s="12" t="str">
        <f>VLOOKUP(Tabela13[[#This Row],[Código]],'COTAÇÃO ATUAL'!C:F,4,0)</f>
        <v>MAXI RENDA FUNDO DE INVESTIMENTO IMOBILIARIO - FII</v>
      </c>
      <c r="F94" s="13" t="s">
        <v>1662</v>
      </c>
      <c r="G94" s="12">
        <v>40</v>
      </c>
      <c r="H94" s="11">
        <v>10.029999999999999</v>
      </c>
      <c r="I94" s="32">
        <f>Tabela13[[#This Row],[Quantidade]]*Tabela13[[#This Row],[Cotação na Compra ou Venda]]</f>
        <v>401.2</v>
      </c>
      <c r="J94" s="80">
        <f>SUMIFS(G:G,D:D,D94,B:B,"Compra")-(SUMIFS(G:G,D:D,D94,B:B,"Venda"))</f>
        <v>233</v>
      </c>
      <c r="K94" s="81">
        <f>SUMIFS(G:G,D:D,D94,B:B,"Compra")-(SUMIFS(G:G,D:D,D94,B:B,"Venda"))</f>
        <v>233</v>
      </c>
      <c r="L94" s="32">
        <f t="shared" si="16"/>
        <v>2360.29</v>
      </c>
      <c r="M94" s="32">
        <f>IF(K94&lt;=0,0,IFERROR(ROUND(SUMIFS(I:I,D:D,D94,B:B,"Compra")/SUMIFS(G:G,D:D,D94,B:B,"Compra"),2),""))</f>
        <v>10.130000000000001</v>
      </c>
    </row>
    <row r="95" spans="2:13" ht="15.75" x14ac:dyDescent="0.25">
      <c r="B95" s="34" t="s">
        <v>1665</v>
      </c>
      <c r="C95" s="84">
        <v>44455</v>
      </c>
      <c r="D95" s="16" t="s">
        <v>151</v>
      </c>
      <c r="E95" s="13" t="str">
        <f>VLOOKUP(Tabela13[[#This Row],[Código]],'COTAÇÃO ATUAL'!C:F,4,0)</f>
        <v>VINCI OFFICES FDO INV IMOB - FII VINC COR</v>
      </c>
      <c r="F95" s="13" t="s">
        <v>1662</v>
      </c>
      <c r="G95" s="13">
        <v>7</v>
      </c>
      <c r="H95" s="14">
        <v>58.99</v>
      </c>
      <c r="I95" s="33">
        <f>Tabela13[[#This Row],[Quantidade]]*Tabela13[[#This Row],[Cotação na Compra ou Venda]]</f>
        <v>412.93</v>
      </c>
      <c r="J95" s="82">
        <f>SUMIFS(G:G,D:D,D95,B:B,"Compra")-(SUMIFS(G:G,D:D,D95,B:B,"Venda"))</f>
        <v>60</v>
      </c>
      <c r="K95" s="83">
        <f>SUMIFS(G:G,D:D,D95,B:B,"Compra")-(SUMIFS(G:G,D:D,D95,B:B,"Venda"))</f>
        <v>60</v>
      </c>
      <c r="L95" s="33">
        <f t="shared" si="16"/>
        <v>3229.8</v>
      </c>
      <c r="M95" s="33">
        <f>IF(K95&lt;=0,0,IFERROR(ROUND(SUMIFS(I:I,D:D,D95,B:B,"Compra")/SUMIFS(G:G,D:D,D95,B:B,"Compra"),2),""))</f>
        <v>53.83</v>
      </c>
    </row>
    <row r="96" spans="2:13" ht="15.75" x14ac:dyDescent="0.25">
      <c r="B96" s="34" t="s">
        <v>1665</v>
      </c>
      <c r="C96" s="86">
        <v>44489</v>
      </c>
      <c r="D96" s="16" t="s">
        <v>65</v>
      </c>
      <c r="E96" s="12" t="str">
        <f>VLOOKUP(Tabela13[[#This Row],[Código]],'COTAÇÃO ATUAL'!C:F,4,0)</f>
        <v>CSHG RENDA URBANA-FI IMOBILIARIO-FII</v>
      </c>
      <c r="F96" s="13" t="s">
        <v>1662</v>
      </c>
      <c r="G96" s="12">
        <v>3</v>
      </c>
      <c r="H96" s="11">
        <v>114.126</v>
      </c>
      <c r="I96" s="32">
        <f>Tabela13[[#This Row],[Quantidade]]*Tabela13[[#This Row],[Cotação na Compra ou Venda]]</f>
        <v>342.37800000000004</v>
      </c>
      <c r="J96" s="80">
        <f>SUMIFS(G:G,D:D,D96,B:B,"Compra")-(SUMIFS(G:G,D:D,D96,B:B,"Venda"))</f>
        <v>24</v>
      </c>
      <c r="K96" s="81">
        <f>SUMIFS(G:G,D:D,D96,B:B,"Compra")-(SUMIFS(G:G,D:D,D96,B:B,"Venda"))</f>
        <v>24</v>
      </c>
      <c r="L96" s="32">
        <f t="shared" ref="L96:L100" si="17">IF(K96&lt;=0,0,ROUND(M96*K96,2))</f>
        <v>2844.96</v>
      </c>
      <c r="M96" s="32">
        <f>IF(K96&lt;=0,0,IFERROR(ROUND(SUMIFS(I:I,D:D,D96,B:B,"Compra")/SUMIFS(G:G,D:D,D96,B:B,"Compra"),2),""))</f>
        <v>118.54</v>
      </c>
    </row>
    <row r="97" spans="2:13" ht="15.75" x14ac:dyDescent="0.25">
      <c r="B97" s="34" t="s">
        <v>1665</v>
      </c>
      <c r="C97" s="86">
        <v>44496</v>
      </c>
      <c r="D97" s="16" t="s">
        <v>65</v>
      </c>
      <c r="E97" s="12" t="str">
        <f>VLOOKUP(Tabela13[[#This Row],[Código]],'COTAÇÃO ATUAL'!C:F,4,0)</f>
        <v>CSHG RENDA URBANA-FI IMOBILIARIO-FII</v>
      </c>
      <c r="F97" s="13" t="s">
        <v>1662</v>
      </c>
      <c r="G97" s="12">
        <v>4</v>
      </c>
      <c r="H97" s="11">
        <v>112.02</v>
      </c>
      <c r="I97" s="32">
        <f>Tabela13[[#This Row],[Quantidade]]*Tabela13[[#This Row],[Cotação na Compra ou Venda]]</f>
        <v>448.08</v>
      </c>
      <c r="J97" s="80">
        <f>SUMIFS(G:G,D:D,D97,B:B,"Compra")-(SUMIFS(G:G,D:D,D97,B:B,"Venda"))</f>
        <v>24</v>
      </c>
      <c r="K97" s="81">
        <f>SUMIFS(G:G,D:D,D97,B:B,"Compra")-(SUMIFS(G:G,D:D,D97,B:B,"Venda"))</f>
        <v>24</v>
      </c>
      <c r="L97" s="32">
        <f t="shared" si="17"/>
        <v>2844.96</v>
      </c>
      <c r="M97" s="32">
        <f>IF(K97&lt;=0,0,IFERROR(ROUND(SUMIFS(I:I,D:D,D97,B:B,"Compra")/SUMIFS(G:G,D:D,D97,B:B,"Compra"),2),""))</f>
        <v>118.54</v>
      </c>
    </row>
    <row r="98" spans="2:13" ht="15.75" x14ac:dyDescent="0.25">
      <c r="B98" s="34" t="s">
        <v>1665</v>
      </c>
      <c r="C98" s="86">
        <v>44489</v>
      </c>
      <c r="D98" s="15" t="s">
        <v>94</v>
      </c>
      <c r="E98" s="12" t="str">
        <f>VLOOKUP(Tabela13[[#This Row],[Código]],'COTAÇÃO ATUAL'!C:F,4,0)</f>
        <v>MAXI RENDA FUNDO DE INVESTIMENTO IMOBILIARIO - FII</v>
      </c>
      <c r="F98" s="13" t="s">
        <v>1662</v>
      </c>
      <c r="G98" s="12">
        <v>4</v>
      </c>
      <c r="H98" s="11">
        <v>10.08</v>
      </c>
      <c r="I98" s="32">
        <f>Tabela13[[#This Row],[Quantidade]]*Tabela13[[#This Row],[Cotação na Compra ou Venda]]</f>
        <v>40.32</v>
      </c>
      <c r="J98" s="80">
        <f>SUMIFS(G:G,D:D,D98,B:B,"Compra")-(SUMIFS(G:G,D:D,D98,B:B,"Venda"))</f>
        <v>233</v>
      </c>
      <c r="K98" s="81">
        <f>SUMIFS(G:G,D:D,D98,B:B,"Compra")-(SUMIFS(G:G,D:D,D98,B:B,"Venda"))</f>
        <v>233</v>
      </c>
      <c r="L98" s="32">
        <f t="shared" si="17"/>
        <v>2360.29</v>
      </c>
      <c r="M98" s="32">
        <f>IF(K98&lt;=0,0,IFERROR(ROUND(SUMIFS(I:I,D:D,D98,B:B,"Compra")/SUMIFS(G:G,D:D,D98,B:B,"Compra"),2),""))</f>
        <v>10.130000000000001</v>
      </c>
    </row>
    <row r="99" spans="2:13" ht="15.75" x14ac:dyDescent="0.25">
      <c r="B99" s="34" t="s">
        <v>1665</v>
      </c>
      <c r="C99" s="86">
        <v>44489</v>
      </c>
      <c r="D99" s="16" t="s">
        <v>165</v>
      </c>
      <c r="E99" s="12" t="str">
        <f>VLOOKUP(Tabela13[[#This Row],[Código]],'COTAÇÃO ATUAL'!C:F,4,0)</f>
        <v>XP LOG FUNDO DE INVESTIMENTO IMOBILIARIO-FII</v>
      </c>
      <c r="F99" s="13" t="s">
        <v>1662</v>
      </c>
      <c r="G99" s="12">
        <v>3</v>
      </c>
      <c r="H99" s="11">
        <v>103.58</v>
      </c>
      <c r="I99" s="32">
        <f>Tabela13[[#This Row],[Quantidade]]*Tabela13[[#This Row],[Cotação na Compra ou Venda]]</f>
        <v>310.74</v>
      </c>
      <c r="J99" s="80">
        <f>SUMIFS(G:G,D:D,D99,B:B,"Compra")-(SUMIFS(G:G,D:D,D99,B:B,"Venda"))</f>
        <v>34</v>
      </c>
      <c r="K99" s="81">
        <f>SUMIFS(G:G,D:D,D99,B:B,"Compra")-(SUMIFS(G:G,D:D,D99,B:B,"Venda"))</f>
        <v>34</v>
      </c>
      <c r="L99" s="32">
        <f t="shared" si="17"/>
        <v>3825.68</v>
      </c>
      <c r="M99" s="32">
        <f>IF(K99&lt;=0,0,IFERROR(ROUND(SUMIFS(I:I,D:D,D99,B:B,"Compra")/SUMIFS(G:G,D:D,D99,B:B,"Compra"),2),""))</f>
        <v>112.52</v>
      </c>
    </row>
    <row r="100" spans="2:13" ht="15.75" x14ac:dyDescent="0.25">
      <c r="B100" s="34" t="s">
        <v>1665</v>
      </c>
      <c r="C100" s="84">
        <v>44496</v>
      </c>
      <c r="D100" s="16" t="s">
        <v>165</v>
      </c>
      <c r="E100" s="13" t="str">
        <f>VLOOKUP(Tabela13[[#This Row],[Código]],'COTAÇÃO ATUAL'!C:F,4,0)</f>
        <v>XP LOG FUNDO DE INVESTIMENTO IMOBILIARIO-FII</v>
      </c>
      <c r="F100" s="13" t="s">
        <v>1662</v>
      </c>
      <c r="G100" s="13">
        <v>3</v>
      </c>
      <c r="H100" s="14">
        <v>99.957999999999998</v>
      </c>
      <c r="I100" s="33">
        <f>Tabela13[[#This Row],[Quantidade]]*Tabela13[[#This Row],[Cotação na Compra ou Venda]]</f>
        <v>299.87400000000002</v>
      </c>
      <c r="J100" s="82">
        <f>SUMIFS(G:G,D:D,D100,B:B,"Compra")-(SUMIFS(G:G,D:D,D100,B:B,"Venda"))</f>
        <v>34</v>
      </c>
      <c r="K100" s="83">
        <f>SUMIFS(G:G,D:D,D100,B:B,"Compra")-(SUMIFS(G:G,D:D,D100,B:B,"Venda"))</f>
        <v>34</v>
      </c>
      <c r="L100" s="33">
        <f t="shared" si="17"/>
        <v>3825.68</v>
      </c>
      <c r="M100" s="33">
        <f>IF(K100&lt;=0,0,IFERROR(ROUND(SUMIFS(I:I,D:D,D100,B:B,"Compra")/SUMIFS(G:G,D:D,D100,B:B,"Compra"),2),""))</f>
        <v>112.52</v>
      </c>
    </row>
    <row r="101" spans="2:13" ht="15.75" x14ac:dyDescent="0.25">
      <c r="B101" s="34" t="s">
        <v>1665</v>
      </c>
      <c r="C101" s="84">
        <v>44517</v>
      </c>
      <c r="D101" s="16" t="s">
        <v>165</v>
      </c>
      <c r="E101" s="13" t="str">
        <f>VLOOKUP(Tabela13[[#This Row],[Código]],'COTAÇÃO ATUAL'!C:F,4,0)</f>
        <v>XP LOG FUNDO DE INVESTIMENTO IMOBILIARIO-FII</v>
      </c>
      <c r="F101" s="13" t="s">
        <v>1662</v>
      </c>
      <c r="G101" s="13">
        <v>3</v>
      </c>
      <c r="H101" s="14">
        <v>89.93</v>
      </c>
      <c r="I101" s="33">
        <f>Tabela13[[#This Row],[Quantidade]]*Tabela13[[#This Row],[Cotação na Compra ou Venda]]</f>
        <v>269.79000000000002</v>
      </c>
      <c r="J101" s="82">
        <f>SUMIFS(G:G,D:D,D101,B:B,"Compra")-(SUMIFS(G:G,D:D,D101,B:B,"Venda"))</f>
        <v>34</v>
      </c>
      <c r="K101" s="83">
        <f>SUMIFS(G:G,D:D,D101,B:B,"Compra")-(SUMIFS(G:G,D:D,D101,B:B,"Venda"))</f>
        <v>34</v>
      </c>
      <c r="L101" s="33">
        <f t="shared" ref="L101:L107" si="18">IF(K101&lt;=0,0,ROUND(M101*K101,2))</f>
        <v>3825.68</v>
      </c>
      <c r="M101" s="33">
        <f>IF(K101&lt;=0,0,IFERROR(ROUND(SUMIFS(I:I,D:D,D101,B:B,"Compra")/SUMIFS(G:G,D:D,D101,B:B,"Compra"),2),""))</f>
        <v>112.52</v>
      </c>
    </row>
    <row r="102" spans="2:13" ht="15.75" x14ac:dyDescent="0.25">
      <c r="B102" s="34" t="s">
        <v>1665</v>
      </c>
      <c r="C102" s="84">
        <v>44519</v>
      </c>
      <c r="D102" s="16" t="s">
        <v>12</v>
      </c>
      <c r="E102" s="13" t="str">
        <f>VLOOKUP(Tabela13[[#This Row],[Código]],'COTAÇÃO ATUAL'!C:F,4,0)</f>
        <v>FI IMOBILIARIO FII BTG PACTUAL FUNDO DE FUNDOS</v>
      </c>
      <c r="F102" s="13" t="s">
        <v>1662</v>
      </c>
      <c r="G102" s="13">
        <v>5</v>
      </c>
      <c r="H102" s="14">
        <v>62.95</v>
      </c>
      <c r="I102" s="33">
        <f>Tabela13[[#This Row],[Quantidade]]*Tabela13[[#This Row],[Cotação na Compra ou Venda]]</f>
        <v>314.75</v>
      </c>
      <c r="J102" s="82">
        <f>SUMIFS(G:G,D:D,D102,B:B,"Compra")-(SUMIFS(G:G,D:D,D102,B:B,"Venda"))</f>
        <v>54</v>
      </c>
      <c r="K102" s="83">
        <f>SUMIFS(G:G,D:D,D102,B:B,"Compra")-(SUMIFS(G:G,D:D,D102,B:B,"Venda"))</f>
        <v>54</v>
      </c>
      <c r="L102" s="33">
        <f t="shared" si="18"/>
        <v>4202.28</v>
      </c>
      <c r="M102" s="33">
        <f>IF(K102&lt;=0,0,IFERROR(ROUND(SUMIFS(I:I,D:D,D102,B:B,"Compra")/SUMIFS(G:G,D:D,D102,B:B,"Compra"),2),""))</f>
        <v>77.819999999999993</v>
      </c>
    </row>
    <row r="103" spans="2:13" ht="15.75" x14ac:dyDescent="0.25">
      <c r="B103" s="34" t="s">
        <v>1665</v>
      </c>
      <c r="C103" s="84">
        <v>44523</v>
      </c>
      <c r="D103" s="16" t="s">
        <v>72</v>
      </c>
      <c r="E103" s="13" t="str">
        <f>VLOOKUP(Tabela13[[#This Row],[Código]],'COTAÇÃO ATUAL'!C:F,4,0)</f>
        <v>FI IMOBILIARIO IRIDIUM RECEBIVEIS IMOBILIARIOS</v>
      </c>
      <c r="F103" s="13" t="s">
        <v>1662</v>
      </c>
      <c r="G103" s="13">
        <v>4</v>
      </c>
      <c r="H103" s="14">
        <v>103.46</v>
      </c>
      <c r="I103" s="33">
        <f>Tabela13[[#This Row],[Quantidade]]*Tabela13[[#This Row],[Cotação na Compra ou Venda]]</f>
        <v>413.84</v>
      </c>
      <c r="J103" s="82">
        <f>SUMIFS(G:G,D:D,D103,B:B,"Compra")-(SUMIFS(G:G,D:D,D103,B:B,"Venda"))</f>
        <v>25</v>
      </c>
      <c r="K103" s="83">
        <f>SUMIFS(G:G,D:D,D103,B:B,"Compra")-(SUMIFS(G:G,D:D,D103,B:B,"Venda"))</f>
        <v>25</v>
      </c>
      <c r="L103" s="33">
        <f t="shared" si="18"/>
        <v>2709</v>
      </c>
      <c r="M103" s="33">
        <f>IF(K103&lt;=0,0,IFERROR(ROUND(SUMIFS(I:I,D:D,D103,B:B,"Compra")/SUMIFS(G:G,D:D,D103,B:B,"Compra"),2),""))</f>
        <v>108.36</v>
      </c>
    </row>
    <row r="104" spans="2:13" ht="15.75" x14ac:dyDescent="0.25">
      <c r="B104" s="34" t="s">
        <v>1665</v>
      </c>
      <c r="C104" s="84">
        <v>44523</v>
      </c>
      <c r="D104" s="15" t="s">
        <v>22</v>
      </c>
      <c r="E104" s="13" t="str">
        <f>VLOOKUP(Tabela13[[#This Row],[Código]],'COTAÇÃO ATUAL'!C:F,4,0)</f>
        <v>BTG PACTUAL LOGISTICA FI IMOBILIARIO</v>
      </c>
      <c r="F104" s="13" t="s">
        <v>1662</v>
      </c>
      <c r="G104" s="13">
        <v>3</v>
      </c>
      <c r="H104" s="14">
        <v>100.75</v>
      </c>
      <c r="I104" s="33">
        <f>Tabela13[[#This Row],[Quantidade]]*Tabela13[[#This Row],[Cotação na Compra ou Venda]]</f>
        <v>302.25</v>
      </c>
      <c r="J104" s="82">
        <f>SUMIFS(G:G,D:D,D104,B:B,"Compra")-(SUMIFS(G:G,D:D,D104,B:B,"Venda"))</f>
        <v>25</v>
      </c>
      <c r="K104" s="83">
        <f>SUMIFS(G:G,D:D,D104,B:B,"Compra")-(SUMIFS(G:G,D:D,D104,B:B,"Venda"))</f>
        <v>25</v>
      </c>
      <c r="L104" s="33">
        <f t="shared" si="18"/>
        <v>2708.5</v>
      </c>
      <c r="M104" s="33">
        <f>IF(K104&lt;=0,0,IFERROR(ROUND(SUMIFS(I:I,D:D,D104,B:B,"Compra")/SUMIFS(G:G,D:D,D104,B:B,"Compra"),2),""))</f>
        <v>108.34</v>
      </c>
    </row>
    <row r="105" spans="2:13" ht="15.75" x14ac:dyDescent="0.25">
      <c r="B105" s="34" t="s">
        <v>1665</v>
      </c>
      <c r="C105" s="86">
        <v>44530</v>
      </c>
      <c r="D105" s="16" t="s">
        <v>4</v>
      </c>
      <c r="E105" s="12" t="str">
        <f>VLOOKUP(Tabela13[[#This Row],[Código]],'COTAÇÃO ATUAL'!C:F,4,0)</f>
        <v>ALIANZA TRUST RENDA IMOBILIARIA FII</v>
      </c>
      <c r="F105" s="13" t="s">
        <v>1662</v>
      </c>
      <c r="G105" s="12">
        <v>8</v>
      </c>
      <c r="H105" s="11">
        <v>104.22</v>
      </c>
      <c r="I105" s="32">
        <f>Tabela13[[#This Row],[Quantidade]]*Tabela13[[#This Row],[Cotação na Compra ou Venda]]</f>
        <v>833.76</v>
      </c>
      <c r="J105" s="80">
        <f>SUMIFS(G:G,D:D,D105,B:B,"Compra")-(SUMIFS(G:G,D:D,D105,B:B,"Venda"))</f>
        <v>30</v>
      </c>
      <c r="K105" s="81">
        <f>SUMIFS(G:G,D:D,D105,B:B,"Compra")-(SUMIFS(G:G,D:D,D105,B:B,"Venda"))</f>
        <v>30</v>
      </c>
      <c r="L105" s="32">
        <f t="shared" si="18"/>
        <v>3328.8</v>
      </c>
      <c r="M105" s="32">
        <f>IF(K105&lt;=0,0,IFERROR(ROUND(SUMIFS(I:I,D:D,D105,B:B,"Compra")/SUMIFS(G:G,D:D,D105,B:B,"Compra"),2),""))</f>
        <v>110.96</v>
      </c>
    </row>
    <row r="106" spans="2:13" ht="15.75" x14ac:dyDescent="0.25">
      <c r="B106" s="34" t="s">
        <v>1665</v>
      </c>
      <c r="C106" s="84">
        <v>44533</v>
      </c>
      <c r="D106" s="15" t="s">
        <v>84</v>
      </c>
      <c r="E106" s="13" t="str">
        <f>VLOOKUP(Tabela13[[#This Row],[Código]],'COTAÇÃO ATUAL'!C:F,4,0)</f>
        <v>FUNDO DE INVESTIMENTO IMOBILIARIO - VBI LOGISTICO</v>
      </c>
      <c r="F106" s="13" t="s">
        <v>1662</v>
      </c>
      <c r="G106" s="13">
        <v>3</v>
      </c>
      <c r="H106" s="14">
        <v>90.87</v>
      </c>
      <c r="I106" s="33">
        <f>Tabela13[[#This Row],[Quantidade]]*Tabela13[[#This Row],[Cotação na Compra ou Venda]]</f>
        <v>272.61</v>
      </c>
      <c r="J106" s="82">
        <f>SUMIFS(G:G,D:D,D106,B:B,"Compra")-(SUMIFS(G:G,D:D,D106,B:B,"Venda"))</f>
        <v>29</v>
      </c>
      <c r="K106" s="83">
        <f>SUMIFS(G:G,D:D,D106,B:B,"Compra")-(SUMIFS(G:G,D:D,D106,B:B,"Venda"))</f>
        <v>29</v>
      </c>
      <c r="L106" s="33">
        <f t="shared" si="18"/>
        <v>3103.29</v>
      </c>
      <c r="M106" s="33">
        <f>IF(K106&lt;=0,0,IFERROR(ROUND(SUMIFS(I:I,D:D,D106,B:B,"Compra")/SUMIFS(G:G,D:D,D106,B:B,"Compra"),2),""))</f>
        <v>107.01</v>
      </c>
    </row>
    <row r="107" spans="2:13" ht="15.75" x14ac:dyDescent="0.25">
      <c r="B107" s="34" t="s">
        <v>1665</v>
      </c>
      <c r="C107" s="84">
        <v>44533</v>
      </c>
      <c r="D107" s="16" t="s">
        <v>150</v>
      </c>
      <c r="E107" s="13" t="str">
        <f>VLOOKUP(Tabela13[[#This Row],[Código]],'COTAÇÃO ATUAL'!C:F,4,0)</f>
        <v>VINCI LOGISTICA FUNDO DE INVESTIMENTO IMOBILIARIO</v>
      </c>
      <c r="F107" s="13" t="s">
        <v>1662</v>
      </c>
      <c r="G107" s="13">
        <v>2</v>
      </c>
      <c r="H107" s="14">
        <v>88.47</v>
      </c>
      <c r="I107" s="33">
        <f>Tabela13[[#This Row],[Quantidade]]*Tabela13[[#This Row],[Cotação na Compra ou Venda]]</f>
        <v>176.94</v>
      </c>
      <c r="J107" s="82">
        <f>SUMIFS(G:G,D:D,D107,B:B,"Compra")-(SUMIFS(G:G,D:D,D107,B:B,"Venda"))</f>
        <v>27</v>
      </c>
      <c r="K107" s="83">
        <f>SUMIFS(G:G,D:D,D107,B:B,"Compra")-(SUMIFS(G:G,D:D,D107,B:B,"Venda"))</f>
        <v>27</v>
      </c>
      <c r="L107" s="33">
        <f t="shared" si="18"/>
        <v>2935.17</v>
      </c>
      <c r="M107" s="33">
        <f>IF(K107&lt;=0,0,IFERROR(ROUND(SUMIFS(I:I,D:D,D107,B:B,"Compra")/SUMIFS(G:G,D:D,D107,B:B,"Compra"),2),""))</f>
        <v>108.71</v>
      </c>
    </row>
    <row r="108" spans="2:13" ht="15.75" x14ac:dyDescent="0.25">
      <c r="B108" s="34" t="s">
        <v>1665</v>
      </c>
      <c r="C108" s="84">
        <v>44533</v>
      </c>
      <c r="D108" s="16" t="s">
        <v>20</v>
      </c>
      <c r="E108" s="12" t="str">
        <f>VLOOKUP(Tabela13[[#This Row],[Código]],'COTAÇÃO ATUAL'!C:F,4,0)</f>
        <v>FII BTG PACTUAL CORPORATE OFFICE FUND</v>
      </c>
      <c r="F108" s="13" t="s">
        <v>1662</v>
      </c>
      <c r="G108" s="12">
        <v>3</v>
      </c>
      <c r="H108" s="11">
        <v>64.349999999999994</v>
      </c>
      <c r="I108" s="32">
        <f>Tabela13[[#This Row],[Quantidade]]*Tabela13[[#This Row],[Cotação na Compra ou Venda]]</f>
        <v>193.04999999999998</v>
      </c>
      <c r="J108" s="80">
        <f>SUMIFS(G:G,D:D,D108,B:B,"Compra")-(SUMIFS(G:G,D:D,D108,B:B,"Venda"))</f>
        <v>53</v>
      </c>
      <c r="K108" s="81">
        <f>SUMIFS(G:G,D:D,D108,B:B,"Compra")-(SUMIFS(G:G,D:D,D108,B:B,"Venda"))</f>
        <v>53</v>
      </c>
      <c r="L108" s="32">
        <f t="shared" ref="L108:L109" si="19">IF(K108&lt;=0,0,ROUND(M108*K108,2))</f>
        <v>3941.61</v>
      </c>
      <c r="M108" s="32">
        <f>IF(K108&lt;=0,0,IFERROR(ROUND(SUMIFS(I:I,D:D,D108,B:B,"Compra")/SUMIFS(G:G,D:D,D108,B:B,"Compra"),2),""))</f>
        <v>74.37</v>
      </c>
    </row>
    <row r="109" spans="2:13" ht="15.75" x14ac:dyDescent="0.25">
      <c r="B109" s="34" t="s">
        <v>1665</v>
      </c>
      <c r="C109" s="84">
        <v>44533</v>
      </c>
      <c r="D109" s="16" t="s">
        <v>72</v>
      </c>
      <c r="E109" s="12" t="str">
        <f>VLOOKUP(Tabela13[[#This Row],[Código]],'COTAÇÃO ATUAL'!C:F,4,0)</f>
        <v>FI IMOBILIARIO IRIDIUM RECEBIVEIS IMOBILIARIOS</v>
      </c>
      <c r="F109" s="13" t="s">
        <v>1662</v>
      </c>
      <c r="G109" s="12">
        <v>3</v>
      </c>
      <c r="H109" s="11">
        <v>102.3</v>
      </c>
      <c r="I109" s="32">
        <f>Tabela13[[#This Row],[Quantidade]]*Tabela13[[#This Row],[Cotação na Compra ou Venda]]</f>
        <v>306.89999999999998</v>
      </c>
      <c r="J109" s="80">
        <f>SUMIFS(G:G,D:D,D109,B:B,"Compra")-(SUMIFS(G:G,D:D,D109,B:B,"Venda"))</f>
        <v>25</v>
      </c>
      <c r="K109" s="81">
        <f>SUMIFS(G:G,D:D,D109,B:B,"Compra")-(SUMIFS(G:G,D:D,D109,B:B,"Venda"))</f>
        <v>25</v>
      </c>
      <c r="L109" s="32">
        <f t="shared" si="19"/>
        <v>2709</v>
      </c>
      <c r="M109" s="32">
        <f>IF(K109&lt;=0,0,IFERROR(ROUND(SUMIFS(I:I,D:D,D109,B:B,"Compra")/SUMIFS(G:G,D:D,D109,B:B,"Compra"),2),""))</f>
        <v>108.36</v>
      </c>
    </row>
    <row r="110" spans="2:13" ht="15.75" x14ac:dyDescent="0.25">
      <c r="B110" s="34" t="s">
        <v>1665</v>
      </c>
      <c r="C110" s="84">
        <v>44551</v>
      </c>
      <c r="D110" s="16" t="s">
        <v>72</v>
      </c>
      <c r="E110" s="13" t="str">
        <f>VLOOKUP(Tabela13[[#This Row],[Código]],'COTAÇÃO ATUAL'!C:F,4,0)</f>
        <v>FI IMOBILIARIO IRIDIUM RECEBIVEIS IMOBILIARIOS</v>
      </c>
      <c r="F110" s="13" t="s">
        <v>1662</v>
      </c>
      <c r="G110" s="13">
        <v>5</v>
      </c>
      <c r="H110" s="14">
        <v>103</v>
      </c>
      <c r="I110" s="33">
        <f>Tabela13[[#This Row],[Quantidade]]*Tabela13[[#This Row],[Cotação na Compra ou Venda]]</f>
        <v>515</v>
      </c>
      <c r="J110" s="82">
        <f>SUMIFS(G:G,D:D,D110,B:B,"Compra")-(SUMIFS(G:G,D:D,D110,B:B,"Venda"))</f>
        <v>25</v>
      </c>
      <c r="K110" s="83">
        <f>SUMIFS(G:G,D:D,D110,B:B,"Compra")-(SUMIFS(G:G,D:D,D110,B:B,"Venda"))</f>
        <v>25</v>
      </c>
      <c r="L110" s="33">
        <f>IF(K110&lt;=0,0,ROUND(M110*K110,2))</f>
        <v>2709</v>
      </c>
      <c r="M110" s="33">
        <f>IF(K110&lt;=0,0,IFERROR(ROUND(SUMIFS(I:I,D:D,D110,B:B,"Compra")/SUMIFS(G:G,D:D,D110,B:B,"Compra"),2),""))</f>
        <v>108.36</v>
      </c>
    </row>
    <row r="111" spans="2:13" ht="15.75" x14ac:dyDescent="0.25">
      <c r="B111" s="34" t="s">
        <v>1665</v>
      </c>
      <c r="C111" s="84">
        <v>44551</v>
      </c>
      <c r="D111" s="16" t="s">
        <v>4</v>
      </c>
      <c r="E111" s="13" t="str">
        <f>VLOOKUP(Tabela13[[#This Row],[Código]],'COTAÇÃO ATUAL'!C:F,4,0)</f>
        <v>ALIANZA TRUST RENDA IMOBILIARIA FII</v>
      </c>
      <c r="F111" s="13" t="s">
        <v>1662</v>
      </c>
      <c r="G111" s="13">
        <v>6</v>
      </c>
      <c r="H111" s="14">
        <v>110.62</v>
      </c>
      <c r="I111" s="33">
        <f>Tabela13[[#This Row],[Quantidade]]*Tabela13[[#This Row],[Cotação na Compra ou Venda]]</f>
        <v>663.72</v>
      </c>
      <c r="J111" s="82">
        <f>SUMIFS(G:G,D:D,D111,B:B,"Compra")-(SUMIFS(G:G,D:D,D111,B:B,"Venda"))</f>
        <v>30</v>
      </c>
      <c r="K111" s="83">
        <f>SUMIFS(G:G,D:D,D111,B:B,"Compra")-(SUMIFS(G:G,D:D,D111,B:B,"Venda"))</f>
        <v>30</v>
      </c>
      <c r="L111" s="33">
        <f>IF(K111&lt;=0,0,ROUND(M111*K111,2))</f>
        <v>3328.8</v>
      </c>
      <c r="M111" s="33">
        <f>IF(K111&lt;=0,0,IFERROR(ROUND(SUMIFS(I:I,D:D,D111,B:B,"Compra")/SUMIFS(G:G,D:D,D111,B:B,"Compra"),2),""))</f>
        <v>110.96</v>
      </c>
    </row>
    <row r="112" spans="2:13" ht="15.75" x14ac:dyDescent="0.25">
      <c r="B112" s="34" t="s">
        <v>1665</v>
      </c>
      <c r="C112" s="84">
        <v>44551</v>
      </c>
      <c r="D112" s="16" t="s">
        <v>64</v>
      </c>
      <c r="E112" s="12" t="str">
        <f>VLOOKUP(Tabela13[[#This Row],[Código]],'COTAÇÃO ATUAL'!C:F,4,0)</f>
        <v>CSHG REAL ESTATE FI IMOBILIARIO-FII</v>
      </c>
      <c r="F112" s="13" t="s">
        <v>1662</v>
      </c>
      <c r="G112" s="12">
        <v>2</v>
      </c>
      <c r="H112" s="11">
        <v>129.16999999999999</v>
      </c>
      <c r="I112" s="32">
        <f>Tabela13[[#This Row],[Quantidade]]*Tabela13[[#This Row],[Cotação na Compra ou Venda]]</f>
        <v>258.33999999999997</v>
      </c>
      <c r="J112" s="80">
        <f>SUMIFS(G:G,D:D,D112,B:B,"Compra")-(SUMIFS(G:G,D:D,D112,B:B,"Venda"))</f>
        <v>28</v>
      </c>
      <c r="K112" s="81">
        <f>SUMIFS(G:G,D:D,D112,B:B,"Compra")-(SUMIFS(G:G,D:D,D112,B:B,"Venda"))</f>
        <v>28</v>
      </c>
      <c r="L112" s="32">
        <f>IF(K112&lt;=0,0,ROUND(M112*K112,2))</f>
        <v>3897.88</v>
      </c>
      <c r="M112" s="32">
        <f>IF(K112&lt;=0,0,IFERROR(ROUND(SUMIFS(I:I,D:D,D112,B:B,"Compra")/SUMIFS(G:G,D:D,D112,B:B,"Compra"),2),""))</f>
        <v>139.21</v>
      </c>
    </row>
    <row r="113" spans="2:13" ht="15.75" x14ac:dyDescent="0.25">
      <c r="B113" s="34" t="s">
        <v>1665</v>
      </c>
      <c r="C113" s="84">
        <v>44559</v>
      </c>
      <c r="D113" s="16" t="s">
        <v>12</v>
      </c>
      <c r="E113" s="13" t="str">
        <f>VLOOKUP(Tabela13[[#This Row],[Código]],'COTAÇÃO ATUAL'!C:F,4,0)</f>
        <v>FI IMOBILIARIO FII BTG PACTUAL FUNDO DE FUNDOS</v>
      </c>
      <c r="F113" s="13" t="s">
        <v>1662</v>
      </c>
      <c r="G113" s="13">
        <v>3</v>
      </c>
      <c r="H113" s="14">
        <v>70.84</v>
      </c>
      <c r="I113" s="33">
        <f>Tabela13[[#This Row],[Quantidade]]*Tabela13[[#This Row],[Cotação na Compra ou Venda]]</f>
        <v>212.52</v>
      </c>
      <c r="J113" s="82">
        <f>SUMIFS(G:G,D:D,D113,B:B,"Compra")-(SUMIFS(G:G,D:D,D113,B:B,"Venda"))</f>
        <v>54</v>
      </c>
      <c r="K113" s="83">
        <f>SUMIFS(G:G,D:D,D113,B:B,"Compra")-(SUMIFS(G:G,D:D,D113,B:B,"Venda"))</f>
        <v>54</v>
      </c>
      <c r="L113" s="33">
        <f>IF(K113&lt;=0,0,ROUND(M113*K113,2))</f>
        <v>4202.28</v>
      </c>
      <c r="M113" s="33">
        <f>IF(K113&lt;=0,0,IFERROR(ROUND(SUMIFS(I:I,D:D,D113,B:B,"Compra")/SUMIFS(G:G,D:D,D113,B:B,"Compra"),2),""))</f>
        <v>77.819999999999993</v>
      </c>
    </row>
    <row r="114" spans="2:13" ht="15.75" x14ac:dyDescent="0.25">
      <c r="B114" s="34" t="s">
        <v>1665</v>
      </c>
      <c r="C114" s="84">
        <v>44559</v>
      </c>
      <c r="D114" s="16" t="s">
        <v>84</v>
      </c>
      <c r="E114" s="12" t="str">
        <f>VLOOKUP(Tabela13[[#This Row],[Código]],'COTAÇÃO ATUAL'!C:F,4,0)</f>
        <v>FUNDO DE INVESTIMENTO IMOBILIARIO - VBI LOGISTICO</v>
      </c>
      <c r="F114" s="13" t="s">
        <v>1662</v>
      </c>
      <c r="G114" s="12">
        <v>5</v>
      </c>
      <c r="H114" s="11">
        <v>102.3</v>
      </c>
      <c r="I114" s="32">
        <f>Tabela13[[#This Row],[Quantidade]]*Tabela13[[#This Row],[Cotação na Compra ou Venda]]</f>
        <v>511.5</v>
      </c>
      <c r="J114" s="80">
        <f>SUMIFS(G:G,D:D,D114,B:B,"Compra")-(SUMIFS(G:G,D:D,D114,B:B,"Venda"))</f>
        <v>29</v>
      </c>
      <c r="K114" s="81">
        <f>SUMIFS(G:G,D:D,D114,B:B,"Compra")-(SUMIFS(G:G,D:D,D114,B:B,"Venda"))</f>
        <v>29</v>
      </c>
      <c r="L114" s="32">
        <f t="shared" ref="L114" si="20">IF(K114&lt;=0,0,ROUND(M114*K114,2))</f>
        <v>3103.29</v>
      </c>
      <c r="M114" s="32">
        <f>IF(K114&lt;=0,0,IFERROR(ROUND(SUMIFS(I:I,D:D,D114,B:B,"Compra")/SUMIFS(G:G,D:D,D114,B:B,"Compra"),2),""))</f>
        <v>107.01</v>
      </c>
    </row>
    <row r="115" spans="2:13" ht="15.75" x14ac:dyDescent="0.25">
      <c r="B115" s="34" t="s">
        <v>1665</v>
      </c>
      <c r="C115" s="84">
        <v>44559</v>
      </c>
      <c r="D115" s="16" t="s">
        <v>80</v>
      </c>
      <c r="E115" s="12" t="str">
        <f>VLOOKUP(Tabela13[[#This Row],[Código]],'COTAÇÃO ATUAL'!C:F,4,0)</f>
        <v>KINEA RENDA IMOBILIARIA FII</v>
      </c>
      <c r="F115" s="13" t="s">
        <v>1662</v>
      </c>
      <c r="G115" s="12">
        <v>4</v>
      </c>
      <c r="H115" s="11">
        <v>141.5</v>
      </c>
      <c r="I115" s="32">
        <f>Tabela13[[#This Row],[Quantidade]]*Tabela13[[#This Row],[Cotação na Compra ou Venda]]</f>
        <v>566</v>
      </c>
      <c r="J115" s="80">
        <f>SUMIFS(G:G,D:D,D115,B:B,"Compra")-(SUMIFS(G:G,D:D,D115,B:B,"Venda"))</f>
        <v>30</v>
      </c>
      <c r="K115" s="81">
        <f>SUMIFS(G:G,D:D,D115,B:B,"Compra")-(SUMIFS(G:G,D:D,D115,B:B,"Venda"))</f>
        <v>30</v>
      </c>
      <c r="L115" s="32">
        <f t="shared" ref="L115:L121" si="21">IF(K115&lt;=0,0,ROUND(M115*K115,2))</f>
        <v>4487.1000000000004</v>
      </c>
      <c r="M115" s="32">
        <f>IF(K115&lt;=0,0,IFERROR(ROUND(SUMIFS(I:I,D:D,D115,B:B,"Compra")/SUMIFS(G:G,D:D,D115,B:B,"Compra"),2),""))</f>
        <v>149.57</v>
      </c>
    </row>
    <row r="116" spans="2:13" ht="15.75" x14ac:dyDescent="0.25">
      <c r="B116" s="34" t="s">
        <v>1665</v>
      </c>
      <c r="C116" s="84">
        <v>44560</v>
      </c>
      <c r="D116" s="15" t="s">
        <v>94</v>
      </c>
      <c r="E116" s="13" t="str">
        <f>VLOOKUP(Tabela13[[#This Row],[Código]],'COTAÇÃO ATUAL'!C:F,4,0)</f>
        <v>MAXI RENDA FUNDO DE INVESTIMENTO IMOBILIARIO - FII</v>
      </c>
      <c r="F116" s="13" t="s">
        <v>1662</v>
      </c>
      <c r="G116" s="13">
        <v>18</v>
      </c>
      <c r="H116" s="14">
        <v>10</v>
      </c>
      <c r="I116" s="33">
        <f>Tabela13[[#This Row],[Quantidade]]*Tabela13[[#This Row],[Cotação na Compra ou Venda]]</f>
        <v>180</v>
      </c>
      <c r="J116" s="82">
        <f>SUMIFS(G:G,D:D,D116,B:B,"Compra")-(SUMIFS(G:G,D:D,D116,B:B,"Venda"))</f>
        <v>233</v>
      </c>
      <c r="K116" s="83">
        <f>SUMIFS(G:G,D:D,D116,B:B,"Compra")-(SUMIFS(G:G,D:D,D116,B:B,"Venda"))</f>
        <v>233</v>
      </c>
      <c r="L116" s="33">
        <f t="shared" si="21"/>
        <v>2360.29</v>
      </c>
      <c r="M116" s="33">
        <f>IF(K116&lt;=0,0,IFERROR(ROUND(SUMIFS(I:I,D:D,D116,B:B,"Compra")/SUMIFS(G:G,D:D,D116,B:B,"Compra"),2),""))</f>
        <v>10.130000000000001</v>
      </c>
    </row>
    <row r="117" spans="2:13" ht="15.75" x14ac:dyDescent="0.25">
      <c r="B117" s="34" t="s">
        <v>1665</v>
      </c>
      <c r="C117" s="84">
        <v>44560</v>
      </c>
      <c r="D117" s="16" t="s">
        <v>20</v>
      </c>
      <c r="E117" s="13" t="str">
        <f>VLOOKUP(Tabela13[[#This Row],[Código]],'COTAÇÃO ATUAL'!C:F,4,0)</f>
        <v>FII BTG PACTUAL CORPORATE OFFICE FUND</v>
      </c>
      <c r="F117" s="13" t="s">
        <v>1662</v>
      </c>
      <c r="G117" s="13">
        <v>9</v>
      </c>
      <c r="H117" s="14">
        <v>72.37</v>
      </c>
      <c r="I117" s="33">
        <f>Tabela13[[#This Row],[Quantidade]]*Tabela13[[#This Row],[Cotação na Compra ou Venda]]</f>
        <v>651.33000000000004</v>
      </c>
      <c r="J117" s="82">
        <f>SUMIFS(G:G,D:D,D117,B:B,"Compra")-(SUMIFS(G:G,D:D,D117,B:B,"Venda"))</f>
        <v>53</v>
      </c>
      <c r="K117" s="83">
        <f>SUMIFS(G:G,D:D,D117,B:B,"Compra")-(SUMIFS(G:G,D:D,D117,B:B,"Venda"))</f>
        <v>53</v>
      </c>
      <c r="L117" s="33">
        <f t="shared" si="21"/>
        <v>3941.61</v>
      </c>
      <c r="M117" s="33">
        <f>IF(K117&lt;=0,0,IFERROR(ROUND(SUMIFS(I:I,D:D,D117,B:B,"Compra")/SUMIFS(G:G,D:D,D117,B:B,"Compra"),2),""))</f>
        <v>74.37</v>
      </c>
    </row>
    <row r="118" spans="2:13" ht="15.75" x14ac:dyDescent="0.25">
      <c r="B118" s="10" t="s">
        <v>1665</v>
      </c>
      <c r="C118" s="84">
        <v>44587</v>
      </c>
      <c r="D118" s="15" t="s">
        <v>84</v>
      </c>
      <c r="E118" s="13" t="str">
        <f>VLOOKUP(Tabela13[[#This Row],[Código]],'COTAÇÃO ATUAL'!C:F,4,0)</f>
        <v>FUNDO DE INVESTIMENTO IMOBILIARIO - VBI LOGISTICO</v>
      </c>
      <c r="F118" s="13" t="s">
        <v>1662</v>
      </c>
      <c r="G118" s="13">
        <v>3</v>
      </c>
      <c r="H118" s="14">
        <v>102.8</v>
      </c>
      <c r="I118" s="33">
        <f>Tabela13[[#This Row],[Quantidade]]*Tabela13[[#This Row],[Cotação na Compra ou Venda]]</f>
        <v>308.39999999999998</v>
      </c>
      <c r="J118" s="82">
        <f>SUMIFS(G:G,D:D,D118,B:B,"Compra")-(SUMIFS(G:G,D:D,D118,B:B,"Venda"))</f>
        <v>29</v>
      </c>
      <c r="K118" s="83">
        <f>SUMIFS(G:G,D:D,D118,B:B,"Compra")-(SUMIFS(G:G,D:D,D118,B:B,"Venda"))</f>
        <v>29</v>
      </c>
      <c r="L118" s="33">
        <f t="shared" si="21"/>
        <v>3103.29</v>
      </c>
      <c r="M118" s="33">
        <f>IF(K118&lt;=0,0,IFERROR(ROUND(SUMIFS(I:I,D:D,D118,B:B,"Compra")/SUMIFS(G:G,D:D,D118,B:B,"Compra"),2),""))</f>
        <v>107.01</v>
      </c>
    </row>
    <row r="119" spans="2:13" ht="15.75" x14ac:dyDescent="0.25">
      <c r="B119" s="10" t="s">
        <v>1665</v>
      </c>
      <c r="C119" s="84">
        <v>44587</v>
      </c>
      <c r="D119" s="15" t="s">
        <v>84</v>
      </c>
      <c r="E119" s="13" t="str">
        <f>VLOOKUP(Tabela13[[#This Row],[Código]],'COTAÇÃO ATUAL'!C:F,4,0)</f>
        <v>FUNDO DE INVESTIMENTO IMOBILIARIO - VBI LOGISTICO</v>
      </c>
      <c r="F119" s="13" t="s">
        <v>1662</v>
      </c>
      <c r="G119" s="13">
        <v>1</v>
      </c>
      <c r="H119" s="14">
        <v>102.79</v>
      </c>
      <c r="I119" s="33">
        <f>Tabela13[[#This Row],[Quantidade]]*Tabela13[[#This Row],[Cotação na Compra ou Venda]]</f>
        <v>102.79</v>
      </c>
      <c r="J119" s="82">
        <f>SUMIFS(G:G,D:D,D119,B:B,"Compra")-(SUMIFS(G:G,D:D,D119,B:B,"Venda"))</f>
        <v>29</v>
      </c>
      <c r="K119" s="83">
        <f>SUMIFS(G:G,D:D,D119,B:B,"Compra")-(SUMIFS(G:G,D:D,D119,B:B,"Venda"))</f>
        <v>29</v>
      </c>
      <c r="L119" s="33">
        <f t="shared" si="21"/>
        <v>3103.29</v>
      </c>
      <c r="M119" s="33">
        <f>IF(K119&lt;=0,0,IFERROR(ROUND(SUMIFS(I:I,D:D,D119,B:B,"Compra")/SUMIFS(G:G,D:D,D119,B:B,"Compra"),2),""))</f>
        <v>107.01</v>
      </c>
    </row>
    <row r="120" spans="2:13" ht="15.75" x14ac:dyDescent="0.25">
      <c r="B120" s="10" t="s">
        <v>1665</v>
      </c>
      <c r="C120" s="84">
        <v>44587</v>
      </c>
      <c r="D120" s="16" t="s">
        <v>166</v>
      </c>
      <c r="E120" s="13" t="str">
        <f>VLOOKUP(Tabela13[[#This Row],[Código]],'COTAÇÃO ATUAL'!C:F,4,0)</f>
        <v>XP MALLS FUNDO DE INVESTIMENTO IMOBILIARIO</v>
      </c>
      <c r="F120" s="13" t="s">
        <v>1662</v>
      </c>
      <c r="G120" s="13">
        <v>2</v>
      </c>
      <c r="H120" s="14">
        <v>93.25</v>
      </c>
      <c r="I120" s="33">
        <f>Tabela13[[#This Row],[Quantidade]]*Tabela13[[#This Row],[Cotação na Compra ou Venda]]</f>
        <v>186.5</v>
      </c>
      <c r="J120" s="82">
        <f>SUMIFS(G:G,D:D,D120,B:B,"Compra")-(SUMIFS(G:G,D:D,D120,B:B,"Venda"))</f>
        <v>22</v>
      </c>
      <c r="K120" s="83">
        <f>SUMIFS(G:G,D:D,D120,B:B,"Compra")-(SUMIFS(G:G,D:D,D120,B:B,"Venda"))</f>
        <v>22</v>
      </c>
      <c r="L120" s="33">
        <f t="shared" si="21"/>
        <v>2317.6999999999998</v>
      </c>
      <c r="M120" s="33">
        <f>IF(K120&lt;=0,0,IFERROR(ROUND(SUMIFS(I:I,D:D,D120,B:B,"Compra")/SUMIFS(G:G,D:D,D120,B:B,"Compra"),2),""))</f>
        <v>105.35</v>
      </c>
    </row>
    <row r="121" spans="2:13" ht="15.75" x14ac:dyDescent="0.25">
      <c r="B121" s="10" t="s">
        <v>1665</v>
      </c>
      <c r="C121" s="84">
        <v>44582</v>
      </c>
      <c r="D121" s="16" t="s">
        <v>20</v>
      </c>
      <c r="E121" s="13" t="str">
        <f>VLOOKUP(Tabela13[[#This Row],[Código]],'COTAÇÃO ATUAL'!C:F,4,0)</f>
        <v>FII BTG PACTUAL CORPORATE OFFICE FUND</v>
      </c>
      <c r="F121" s="13" t="s">
        <v>1662</v>
      </c>
      <c r="G121" s="13">
        <v>5</v>
      </c>
      <c r="H121" s="14">
        <v>71</v>
      </c>
      <c r="I121" s="33">
        <f>Tabela13[[#This Row],[Quantidade]]*Tabela13[[#This Row],[Cotação na Compra ou Venda]]</f>
        <v>355</v>
      </c>
      <c r="J121" s="82">
        <f>SUMIFS(G:G,D:D,D121,B:B,"Compra")-(SUMIFS(G:G,D:D,D121,B:B,"Venda"))</f>
        <v>53</v>
      </c>
      <c r="K121" s="83">
        <f>SUMIFS(G:G,D:D,D121,B:B,"Compra")-(SUMIFS(G:G,D:D,D121,B:B,"Venda"))</f>
        <v>53</v>
      </c>
      <c r="L121" s="33">
        <f t="shared" si="21"/>
        <v>3941.61</v>
      </c>
      <c r="M121" s="33">
        <f>IF(K121&lt;=0,0,IFERROR(ROUND(SUMIFS(I:I,D:D,D121,B:B,"Compra")/SUMIFS(G:G,D:D,D121,B:B,"Compra"),2),""))</f>
        <v>74.37</v>
      </c>
    </row>
    <row r="122" spans="2:13" ht="15.75" x14ac:dyDescent="0.25">
      <c r="B122" s="10" t="s">
        <v>1665</v>
      </c>
      <c r="C122" s="84">
        <v>44603</v>
      </c>
      <c r="D122" s="15" t="s">
        <v>22</v>
      </c>
      <c r="E122" s="18" t="str">
        <f>VLOOKUP(Tabela13[[#This Row],[Código]],'COTAÇÃO ATUAL'!C:F,4,0)</f>
        <v>BTG PACTUAL LOGISTICA FI IMOBILIARIO</v>
      </c>
      <c r="F122" s="13" t="s">
        <v>1662</v>
      </c>
      <c r="G122" s="13">
        <v>2</v>
      </c>
      <c r="H122" s="14">
        <v>105.76</v>
      </c>
      <c r="I122" s="33">
        <f>Tabela13[[#This Row],[Quantidade]]*Tabela13[[#This Row],[Cotação na Compra ou Venda]]</f>
        <v>211.52</v>
      </c>
      <c r="J122" s="82">
        <f>SUMIFS(G:G,D:D,D122,B:B,"Compra")-(SUMIFS(G:G,D:D,D122,B:B,"Venda"))</f>
        <v>25</v>
      </c>
      <c r="K122" s="83">
        <f>SUMIFS(G:G,D:D,D122,B:B,"Compra")-(SUMIFS(G:G,D:D,D122,B:B,"Venda"))</f>
        <v>25</v>
      </c>
      <c r="L122" s="33">
        <f t="shared" ref="L122:L128" si="22">IF(K122&lt;=0,0,ROUND(M122*K122,2))</f>
        <v>2708.5</v>
      </c>
      <c r="M122" s="33">
        <f>IF(K122&lt;=0,0,IFERROR(ROUND(SUMIFS(I:I,D:D,D122,B:B,"Compra")/SUMIFS(G:G,D:D,D122,B:B,"Compra"),2),""))</f>
        <v>108.34</v>
      </c>
    </row>
    <row r="123" spans="2:13" ht="15.75" x14ac:dyDescent="0.25">
      <c r="B123" s="29" t="s">
        <v>1665</v>
      </c>
      <c r="C123" s="84">
        <v>44613</v>
      </c>
      <c r="D123" s="15" t="s">
        <v>150</v>
      </c>
      <c r="E123" s="18" t="str">
        <f>VLOOKUP(Tabela13[[#This Row],[Código]],'COTAÇÃO ATUAL'!C:F,4,0)</f>
        <v>VINCI LOGISTICA FUNDO DE INVESTIMENTO IMOBILIARIO</v>
      </c>
      <c r="F123" s="13" t="s">
        <v>1662</v>
      </c>
      <c r="G123" s="13">
        <v>3</v>
      </c>
      <c r="H123" s="14">
        <v>100.79</v>
      </c>
      <c r="I123" s="33">
        <f>Tabela13[[#This Row],[Quantidade]]*Tabela13[[#This Row],[Cotação na Compra ou Venda]]</f>
        <v>302.37</v>
      </c>
      <c r="J123" s="82">
        <f>SUMIFS(G:G,D:D,D123,B:B,"Compra")-(SUMIFS(G:G,D:D,D123,B:B,"Venda"))</f>
        <v>27</v>
      </c>
      <c r="K123" s="83">
        <f>SUMIFS(G:G,D:D,D123,B:B,"Compra")-(SUMIFS(G:G,D:D,D123,B:B,"Venda"))</f>
        <v>27</v>
      </c>
      <c r="L123" s="33">
        <f t="shared" si="22"/>
        <v>2935.17</v>
      </c>
      <c r="M123" s="33">
        <f>IF(K123&lt;=0,0,IFERROR(ROUND(SUMIFS(I:I,D:D,D123,B:B,"Compra")/SUMIFS(G:G,D:D,D123,B:B,"Compra"),2),""))</f>
        <v>108.71</v>
      </c>
    </row>
    <row r="124" spans="2:13" ht="15.75" x14ac:dyDescent="0.25">
      <c r="B124" s="29" t="s">
        <v>1665</v>
      </c>
      <c r="C124" s="84">
        <v>44617</v>
      </c>
      <c r="D124" s="15" t="s">
        <v>94</v>
      </c>
      <c r="E124" s="18" t="str">
        <f>VLOOKUP(Tabela13[[#This Row],[Código]],'COTAÇÃO ATUAL'!C:F,4,0)</f>
        <v>MAXI RENDA FUNDO DE INVESTIMENTO IMOBILIARIO - FII</v>
      </c>
      <c r="F124" s="13" t="s">
        <v>1662</v>
      </c>
      <c r="G124" s="13">
        <v>13</v>
      </c>
      <c r="H124" s="14">
        <v>9.2799999999999994</v>
      </c>
      <c r="I124" s="33">
        <f>Tabela13[[#This Row],[Quantidade]]*Tabela13[[#This Row],[Cotação na Compra ou Venda]]</f>
        <v>120.63999999999999</v>
      </c>
      <c r="J124" s="82">
        <f>SUMIFS(G:G,D:D,D124,B:B,"Compra")-(SUMIFS(G:G,D:D,D124,B:B,"Venda"))</f>
        <v>233</v>
      </c>
      <c r="K124" s="83">
        <f>SUMIFS(G:G,D:D,D124,B:B,"Compra")-(SUMIFS(G:G,D:D,D124,B:B,"Venda"))</f>
        <v>233</v>
      </c>
      <c r="L124" s="33">
        <f t="shared" si="22"/>
        <v>2360.29</v>
      </c>
      <c r="M124" s="33">
        <f>IF(K124&lt;=0,0,IFERROR(ROUND(SUMIFS(I:I,D:D,D124,B:B,"Compra")/SUMIFS(G:G,D:D,D124,B:B,"Compra"),2),""))</f>
        <v>10.130000000000001</v>
      </c>
    </row>
    <row r="125" spans="2:13" ht="15.75" x14ac:dyDescent="0.25">
      <c r="B125" s="29" t="s">
        <v>1665</v>
      </c>
      <c r="C125" s="84">
        <v>44627</v>
      </c>
      <c r="D125" s="15" t="s">
        <v>151</v>
      </c>
      <c r="E125" s="18" t="str">
        <f>VLOOKUP(Tabela13[[#This Row],[Código]],'COTAÇÃO ATUAL'!C:F,4,0)</f>
        <v>VINCI OFFICES FDO INV IMOB - FII VINC COR</v>
      </c>
      <c r="F125" s="13" t="s">
        <v>1662</v>
      </c>
      <c r="G125" s="13">
        <v>4</v>
      </c>
      <c r="H125" s="14">
        <v>49.07</v>
      </c>
      <c r="I125" s="33">
        <f>Tabela13[[#This Row],[Quantidade]]*Tabela13[[#This Row],[Cotação na Compra ou Venda]]</f>
        <v>196.28</v>
      </c>
      <c r="J125" s="82">
        <f>SUMIFS(G:G,D:D,D125,B:B,"Compra")-(SUMIFS(G:G,D:D,D125,B:B,"Venda"))</f>
        <v>60</v>
      </c>
      <c r="K125" s="83">
        <f>SUMIFS(G:G,D:D,D125,B:B,"Compra")-(SUMIFS(G:G,D:D,D125,B:B,"Venda"))</f>
        <v>60</v>
      </c>
      <c r="L125" s="33">
        <f t="shared" si="22"/>
        <v>3229.8</v>
      </c>
      <c r="M125" s="33">
        <f>IF(K125&lt;=0,0,IFERROR(ROUND(SUMIFS(I:I,D:D,D125,B:B,"Compra")/SUMIFS(G:G,D:D,D125,B:B,"Compra"),2),""))</f>
        <v>53.83</v>
      </c>
    </row>
    <row r="126" spans="2:13" ht="15.75" x14ac:dyDescent="0.25">
      <c r="B126" s="29" t="s">
        <v>1665</v>
      </c>
      <c r="C126" s="84">
        <v>44627</v>
      </c>
      <c r="D126" s="15" t="s">
        <v>151</v>
      </c>
      <c r="E126" s="18" t="str">
        <f>VLOOKUP(Tabela13[[#This Row],[Código]],'COTAÇÃO ATUAL'!C:F,4,0)</f>
        <v>VINCI OFFICES FDO INV IMOB - FII VINC COR</v>
      </c>
      <c r="F126" s="13" t="s">
        <v>1662</v>
      </c>
      <c r="G126" s="13">
        <v>4</v>
      </c>
      <c r="H126" s="14">
        <v>49.01</v>
      </c>
      <c r="I126" s="33">
        <f>Tabela13[[#This Row],[Quantidade]]*Tabela13[[#This Row],[Cotação na Compra ou Venda]]</f>
        <v>196.04</v>
      </c>
      <c r="J126" s="82">
        <f>SUMIFS(G:G,D:D,D126,B:B,"Compra")-(SUMIFS(G:G,D:D,D126,B:B,"Venda"))</f>
        <v>60</v>
      </c>
      <c r="K126" s="83">
        <f>SUMIFS(G:G,D:D,D126,B:B,"Compra")-(SUMIFS(G:G,D:D,D126,B:B,"Venda"))</f>
        <v>60</v>
      </c>
      <c r="L126" s="33">
        <f t="shared" si="22"/>
        <v>3229.8</v>
      </c>
      <c r="M126" s="33">
        <f>IF(K126&lt;=0,0,IFERROR(ROUND(SUMIFS(I:I,D:D,D126,B:B,"Compra")/SUMIFS(G:G,D:D,D126,B:B,"Compra"),2),""))</f>
        <v>53.83</v>
      </c>
    </row>
    <row r="127" spans="2:13" ht="15.75" x14ac:dyDescent="0.25">
      <c r="B127" s="29" t="s">
        <v>1665</v>
      </c>
      <c r="C127" s="84">
        <v>44627</v>
      </c>
      <c r="D127" s="15" t="s">
        <v>151</v>
      </c>
      <c r="E127" s="18" t="str">
        <f>VLOOKUP(Tabela13[[#This Row],[Código]],'COTAÇÃO ATUAL'!C:F,4,0)</f>
        <v>VINCI OFFICES FDO INV IMOB - FII VINC COR</v>
      </c>
      <c r="F127" s="13" t="s">
        <v>1662</v>
      </c>
      <c r="G127" s="13">
        <v>1</v>
      </c>
      <c r="H127" s="14">
        <v>49</v>
      </c>
      <c r="I127" s="33">
        <f>Tabela13[[#This Row],[Quantidade]]*Tabela13[[#This Row],[Cotação na Compra ou Venda]]</f>
        <v>49</v>
      </c>
      <c r="J127" s="82">
        <f>SUMIFS(G:G,D:D,D127,B:B,"Compra")-(SUMIFS(G:G,D:D,D127,B:B,"Venda"))</f>
        <v>60</v>
      </c>
      <c r="K127" s="83">
        <f>SUMIFS(G:G,D:D,D127,B:B,"Compra")-(SUMIFS(G:G,D:D,D127,B:B,"Venda"))</f>
        <v>60</v>
      </c>
      <c r="L127" s="33">
        <f t="shared" si="22"/>
        <v>3229.8</v>
      </c>
      <c r="M127" s="33">
        <f>IF(K127&lt;=0,0,IFERROR(ROUND(SUMIFS(I:I,D:D,D127,B:B,"Compra")/SUMIFS(G:G,D:D,D127,B:B,"Compra"),2),""))</f>
        <v>53.83</v>
      </c>
    </row>
    <row r="128" spans="2:13" ht="15.75" x14ac:dyDescent="0.25">
      <c r="B128" s="29" t="s">
        <v>1665</v>
      </c>
      <c r="C128" s="84">
        <v>44643</v>
      </c>
      <c r="D128" s="15" t="s">
        <v>12</v>
      </c>
      <c r="E128" s="18" t="str">
        <f>VLOOKUP(Tabela13[[#This Row],[Código]],'COTAÇÃO ATUAL'!C:F,4,0)</f>
        <v>FI IMOBILIARIO FII BTG PACTUAL FUNDO DE FUNDOS</v>
      </c>
      <c r="F128" s="13" t="s">
        <v>1662</v>
      </c>
      <c r="G128" s="13">
        <v>5</v>
      </c>
      <c r="H128" s="14">
        <v>66.66</v>
      </c>
      <c r="I128" s="33">
        <f>Tabela13[[#This Row],[Quantidade]]*Tabela13[[#This Row],[Cotação na Compra ou Venda]]</f>
        <v>333.29999999999995</v>
      </c>
      <c r="J128" s="82">
        <f>SUMIFS(G:G,D:D,D128,B:B,"Compra")-(SUMIFS(G:G,D:D,D128,B:B,"Venda"))</f>
        <v>54</v>
      </c>
      <c r="K128" s="83">
        <f>SUMIFS(G:G,D:D,D128,B:B,"Compra")-(SUMIFS(G:G,D:D,D128,B:B,"Venda"))</f>
        <v>54</v>
      </c>
      <c r="L128" s="33">
        <f t="shared" si="22"/>
        <v>4202.28</v>
      </c>
      <c r="M128" s="33">
        <f>IF(K128&lt;=0,0,IFERROR(ROUND(SUMIFS(I:I,D:D,D128,B:B,"Compra")/SUMIFS(G:G,D:D,D128,B:B,"Compra"),2),""))</f>
        <v>77.819999999999993</v>
      </c>
    </row>
    <row r="129" spans="2:13" ht="15.75" x14ac:dyDescent="0.25">
      <c r="B129" s="29" t="s">
        <v>1665</v>
      </c>
      <c r="C129" s="86">
        <v>44651</v>
      </c>
      <c r="D129" s="16" t="s">
        <v>4</v>
      </c>
      <c r="E129" s="17" t="str">
        <f>VLOOKUP(Tabela13[[#This Row],[Código]],'COTAÇÃO ATUAL'!C:F,4,0)</f>
        <v>ALIANZA TRUST RENDA IMOBILIARIA FII</v>
      </c>
      <c r="F129" s="12" t="s">
        <v>1662</v>
      </c>
      <c r="G129" s="12">
        <v>9</v>
      </c>
      <c r="H129" s="11">
        <v>113.09</v>
      </c>
      <c r="I129" s="32">
        <f>Tabela13[[#This Row],[Quantidade]]*Tabela13[[#This Row],[Cotação na Compra ou Venda]]</f>
        <v>1017.8100000000001</v>
      </c>
      <c r="J129" s="80">
        <f>SUMIFS(G:G,D:D,D129,B:B,"Compra")-(SUMIFS(G:G,D:D,D129,B:B,"Venda"))</f>
        <v>30</v>
      </c>
      <c r="K129" s="81">
        <f>SUMIFS(G:G,D:D,D129,B:B,"Compra")-(SUMIFS(G:G,D:D,D129,B:B,"Venda"))</f>
        <v>30</v>
      </c>
      <c r="L129" s="32">
        <f t="shared" ref="L129:L135" si="23">IF(K129&lt;=0,0,ROUND(M129*K129,2))</f>
        <v>3328.8</v>
      </c>
      <c r="M129" s="32">
        <f>IF(K129&lt;=0,0,IFERROR(ROUND(SUMIFS(I:I,D:D,D129,B:B,"Compra")/SUMIFS(G:G,D:D,D129,B:B,"Compra"),2),""))</f>
        <v>110.96</v>
      </c>
    </row>
    <row r="130" spans="2:13" ht="15.75" x14ac:dyDescent="0.25">
      <c r="B130" s="29" t="s">
        <v>1665</v>
      </c>
      <c r="C130" s="86">
        <v>44651</v>
      </c>
      <c r="D130" s="16" t="s">
        <v>64</v>
      </c>
      <c r="E130" s="17" t="str">
        <f>VLOOKUP(Tabela13[[#This Row],[Código]],'COTAÇÃO ATUAL'!C:F,4,0)</f>
        <v>CSHG REAL ESTATE FI IMOBILIARIO-FII</v>
      </c>
      <c r="F130" s="12" t="s">
        <v>1662</v>
      </c>
      <c r="G130" s="12">
        <v>2</v>
      </c>
      <c r="H130" s="11">
        <v>126.4</v>
      </c>
      <c r="I130" s="32">
        <f>Tabela13[[#This Row],[Quantidade]]*Tabela13[[#This Row],[Cotação na Compra ou Venda]]</f>
        <v>252.8</v>
      </c>
      <c r="J130" s="80">
        <f>SUMIFS(G:G,D:D,D130,B:B,"Compra")-(SUMIFS(G:G,D:D,D130,B:B,"Venda"))</f>
        <v>28</v>
      </c>
      <c r="K130" s="81">
        <f>SUMIFS(G:G,D:D,D130,B:B,"Compra")-(SUMIFS(G:G,D:D,D130,B:B,"Venda"))</f>
        <v>28</v>
      </c>
      <c r="L130" s="32">
        <f t="shared" si="23"/>
        <v>3897.88</v>
      </c>
      <c r="M130" s="32">
        <f>IF(K130&lt;=0,0,IFERROR(ROUND(SUMIFS(I:I,D:D,D130,B:B,"Compra")/SUMIFS(G:G,D:D,D130,B:B,"Compra"),2),""))</f>
        <v>139.21</v>
      </c>
    </row>
    <row r="131" spans="2:13" ht="15.75" x14ac:dyDescent="0.25">
      <c r="B131" s="29" t="s">
        <v>1665</v>
      </c>
      <c r="C131" s="86">
        <v>44651</v>
      </c>
      <c r="D131" s="16" t="s">
        <v>65</v>
      </c>
      <c r="E131" s="17" t="str">
        <f>VLOOKUP(Tabela13[[#This Row],[Código]],'COTAÇÃO ATUAL'!C:F,4,0)</f>
        <v>CSHG RENDA URBANA-FI IMOBILIARIO-FII</v>
      </c>
      <c r="F131" s="12" t="s">
        <v>1662</v>
      </c>
      <c r="G131" s="12">
        <v>3</v>
      </c>
      <c r="H131" s="11">
        <v>112.63</v>
      </c>
      <c r="I131" s="32">
        <f>Tabela13[[#This Row],[Quantidade]]*Tabela13[[#This Row],[Cotação na Compra ou Venda]]</f>
        <v>337.89</v>
      </c>
      <c r="J131" s="80">
        <f>SUMIFS(G:G,D:D,D131,B:B,"Compra")-(SUMIFS(G:G,D:D,D131,B:B,"Venda"))</f>
        <v>24</v>
      </c>
      <c r="K131" s="81">
        <f>SUMIFS(G:G,D:D,D131,B:B,"Compra")-(SUMIFS(G:G,D:D,D131,B:B,"Venda"))</f>
        <v>24</v>
      </c>
      <c r="L131" s="32">
        <f t="shared" si="23"/>
        <v>2844.96</v>
      </c>
      <c r="M131" s="32">
        <f>IF(K131&lt;=0,0,IFERROR(ROUND(SUMIFS(I:I,D:D,D131,B:B,"Compra")/SUMIFS(G:G,D:D,D131,B:B,"Compra"),2),""))</f>
        <v>118.54</v>
      </c>
    </row>
    <row r="132" spans="2:13" ht="15.75" x14ac:dyDescent="0.25">
      <c r="B132" s="29" t="s">
        <v>1665</v>
      </c>
      <c r="C132" s="86">
        <v>44651</v>
      </c>
      <c r="D132" s="16" t="s">
        <v>72</v>
      </c>
      <c r="E132" s="17" t="str">
        <f>VLOOKUP(Tabela13[[#This Row],[Código]],'COTAÇÃO ATUAL'!C:F,4,0)</f>
        <v>FI IMOBILIARIO IRIDIUM RECEBIVEIS IMOBILIARIOS</v>
      </c>
      <c r="F132" s="12" t="s">
        <v>1662</v>
      </c>
      <c r="G132" s="12">
        <v>6</v>
      </c>
      <c r="H132" s="11">
        <v>109.26</v>
      </c>
      <c r="I132" s="32">
        <f>Tabela13[[#This Row],[Quantidade]]*Tabela13[[#This Row],[Cotação na Compra ou Venda]]</f>
        <v>655.56000000000006</v>
      </c>
      <c r="J132" s="80">
        <f>SUMIFS(G:G,D:D,D132,B:B,"Compra")-(SUMIFS(G:G,D:D,D132,B:B,"Venda"))</f>
        <v>25</v>
      </c>
      <c r="K132" s="81">
        <f>SUMIFS(G:G,D:D,D132,B:B,"Compra")-(SUMIFS(G:G,D:D,D132,B:B,"Venda"))</f>
        <v>25</v>
      </c>
      <c r="L132" s="32">
        <f t="shared" si="23"/>
        <v>2709</v>
      </c>
      <c r="M132" s="32">
        <f>IF(K132&lt;=0,0,IFERROR(ROUND(SUMIFS(I:I,D:D,D132,B:B,"Compra")/SUMIFS(G:G,D:D,D132,B:B,"Compra"),2),""))</f>
        <v>108.36</v>
      </c>
    </row>
    <row r="133" spans="2:13" ht="15.75" x14ac:dyDescent="0.25">
      <c r="B133" s="29" t="s">
        <v>1665</v>
      </c>
      <c r="C133" s="86">
        <v>44651</v>
      </c>
      <c r="D133" s="16" t="s">
        <v>80</v>
      </c>
      <c r="E133" s="17" t="str">
        <f>VLOOKUP(Tabela13[[#This Row],[Código]],'COTAÇÃO ATUAL'!C:F,4,0)</f>
        <v>KINEA RENDA IMOBILIARIA FII</v>
      </c>
      <c r="F133" s="12" t="s">
        <v>1662</v>
      </c>
      <c r="G133" s="12">
        <v>5</v>
      </c>
      <c r="H133" s="11">
        <v>137.65</v>
      </c>
      <c r="I133" s="32">
        <f>Tabela13[[#This Row],[Quantidade]]*Tabela13[[#This Row],[Cotação na Compra ou Venda]]</f>
        <v>688.25</v>
      </c>
      <c r="J133" s="80">
        <f>SUMIFS(G:G,D:D,D133,B:B,"Compra")-(SUMIFS(G:G,D:D,D133,B:B,"Venda"))</f>
        <v>30</v>
      </c>
      <c r="K133" s="81">
        <f>SUMIFS(G:G,D:D,D133,B:B,"Compra")-(SUMIFS(G:G,D:D,D133,B:B,"Venda"))</f>
        <v>30</v>
      </c>
      <c r="L133" s="32">
        <f t="shared" si="23"/>
        <v>4487.1000000000004</v>
      </c>
      <c r="M133" s="32">
        <f>IF(K133&lt;=0,0,IFERROR(ROUND(SUMIFS(I:I,D:D,D133,B:B,"Compra")/SUMIFS(G:G,D:D,D133,B:B,"Compra"),2),""))</f>
        <v>149.57</v>
      </c>
    </row>
    <row r="134" spans="2:13" ht="15.75" x14ac:dyDescent="0.25">
      <c r="B134" s="29" t="s">
        <v>1665</v>
      </c>
      <c r="C134" s="86">
        <v>44651</v>
      </c>
      <c r="D134" s="16" t="s">
        <v>94</v>
      </c>
      <c r="E134" s="17" t="str">
        <f>VLOOKUP(Tabela13[[#This Row],[Código]],'COTAÇÃO ATUAL'!C:F,4,0)</f>
        <v>MAXI RENDA FUNDO DE INVESTIMENTO IMOBILIARIO - FII</v>
      </c>
      <c r="F134" s="12" t="s">
        <v>1662</v>
      </c>
      <c r="G134" s="12">
        <v>20</v>
      </c>
      <c r="H134" s="11">
        <v>9.3699999999999992</v>
      </c>
      <c r="I134" s="32">
        <f>Tabela13[[#This Row],[Quantidade]]*Tabela13[[#This Row],[Cotação na Compra ou Venda]]</f>
        <v>187.39999999999998</v>
      </c>
      <c r="J134" s="80">
        <f>SUMIFS(G:G,D:D,D134,B:B,"Compra")-(SUMIFS(G:G,D:D,D134,B:B,"Venda"))</f>
        <v>233</v>
      </c>
      <c r="K134" s="81">
        <f>SUMIFS(G:G,D:D,D134,B:B,"Compra")-(SUMIFS(G:G,D:D,D134,B:B,"Venda"))</f>
        <v>233</v>
      </c>
      <c r="L134" s="32">
        <f t="shared" si="23"/>
        <v>2360.29</v>
      </c>
      <c r="M134" s="32">
        <f>IF(K134&lt;=0,0,IFERROR(ROUND(SUMIFS(I:I,D:D,D134,B:B,"Compra")/SUMIFS(G:G,D:D,D134,B:B,"Compra"),2),""))</f>
        <v>10.130000000000001</v>
      </c>
    </row>
    <row r="135" spans="2:13" ht="15.75" x14ac:dyDescent="0.25">
      <c r="B135" s="29" t="s">
        <v>1665</v>
      </c>
      <c r="C135" s="86">
        <v>44651</v>
      </c>
      <c r="D135" s="16" t="s">
        <v>150</v>
      </c>
      <c r="E135" s="17" t="str">
        <f>VLOOKUP(Tabela13[[#This Row],[Código]],'COTAÇÃO ATUAL'!C:F,4,0)</f>
        <v>VINCI LOGISTICA FUNDO DE INVESTIMENTO IMOBILIARIO</v>
      </c>
      <c r="F135" s="12" t="s">
        <v>1662</v>
      </c>
      <c r="G135" s="12">
        <v>2</v>
      </c>
      <c r="H135" s="11">
        <v>99.24</v>
      </c>
      <c r="I135" s="32">
        <f>Tabela13[[#This Row],[Quantidade]]*Tabela13[[#This Row],[Cotação na Compra ou Venda]]</f>
        <v>198.48</v>
      </c>
      <c r="J135" s="80">
        <f>SUMIFS(G:G,D:D,D135,B:B,"Compra")-(SUMIFS(G:G,D:D,D135,B:B,"Venda"))</f>
        <v>27</v>
      </c>
      <c r="K135" s="81">
        <f>SUMIFS(G:G,D:D,D135,B:B,"Compra")-(SUMIFS(G:G,D:D,D135,B:B,"Venda"))</f>
        <v>27</v>
      </c>
      <c r="L135" s="32">
        <f t="shared" si="23"/>
        <v>2935.17</v>
      </c>
      <c r="M135" s="32">
        <f>IF(K135&lt;=0,0,IFERROR(ROUND(SUMIFS(I:I,D:D,D135,B:B,"Compra")/SUMIFS(G:G,D:D,D135,B:B,"Compra"),2),""))</f>
        <v>108.71</v>
      </c>
    </row>
    <row r="136" spans="2:13" ht="15.75" x14ac:dyDescent="0.25">
      <c r="B136" s="29" t="s">
        <v>1665</v>
      </c>
      <c r="C136" s="84">
        <v>44659</v>
      </c>
      <c r="D136" s="15" t="s">
        <v>62</v>
      </c>
      <c r="E136" s="18" t="str">
        <f>VLOOKUP(Tabela13[[#This Row],[Código]],'COTAÇÃO ATUAL'!C:F,4,0)</f>
        <v>CSHG LOGISTICA FND DE INVSTMNT IMBLR FII</v>
      </c>
      <c r="F136" s="13" t="s">
        <v>1662</v>
      </c>
      <c r="G136" s="13">
        <v>3</v>
      </c>
      <c r="H136" s="14">
        <v>166.34</v>
      </c>
      <c r="I136" s="33">
        <f>Tabela13[[#This Row],[Quantidade]]*Tabela13[[#This Row],[Cotação na Compra ou Venda]]</f>
        <v>499.02</v>
      </c>
      <c r="J136" s="82">
        <f>SUMIFS(G:G,D:D,D136,B:B,"Compra")-(SUMIFS(G:G,D:D,D136,B:B,"Venda"))</f>
        <v>21</v>
      </c>
      <c r="K136" s="83">
        <f>SUMIFS(G:G,D:D,D136,B:B,"Compra")-(SUMIFS(G:G,D:D,D136,B:B,"Venda"))</f>
        <v>21</v>
      </c>
      <c r="L136" s="33">
        <f>IF(K136&lt;=0,0,ROUND(M136*K136,2))</f>
        <v>3494.19</v>
      </c>
      <c r="M136" s="33">
        <f>IF(K136&lt;=0,0,IFERROR(ROUND(SUMIFS(I:I,D:D,D136,B:B,"Compra")/SUMIFS(G:G,D:D,D136,B:B,"Compra"),2),""))</f>
        <v>166.39</v>
      </c>
    </row>
    <row r="137" spans="2:13" ht="15.75" x14ac:dyDescent="0.25">
      <c r="B137" s="29" t="s">
        <v>1665</v>
      </c>
      <c r="C137" s="84">
        <v>44662</v>
      </c>
      <c r="D137" s="15" t="s">
        <v>65</v>
      </c>
      <c r="E137" s="18" t="str">
        <f>VLOOKUP(Tabela13[[#This Row],[Código]],'COTAÇÃO ATUAL'!C:F,4,0)</f>
        <v>CSHG RENDA URBANA-FI IMOBILIARIO-FII</v>
      </c>
      <c r="F137" s="13" t="s">
        <v>1662</v>
      </c>
      <c r="G137" s="13">
        <v>3</v>
      </c>
      <c r="H137" s="14">
        <v>113.84</v>
      </c>
      <c r="I137" s="33">
        <f>Tabela13[[#This Row],[Quantidade]]*Tabela13[[#This Row],[Cotação na Compra ou Venda]]</f>
        <v>341.52</v>
      </c>
      <c r="J137" s="82">
        <f>SUMIFS(G:G,D:D,D137,B:B,"Compra")-(SUMIFS(G:G,D:D,D137,B:B,"Venda"))</f>
        <v>24</v>
      </c>
      <c r="K137" s="83">
        <f>SUMIFS(G:G,D:D,D137,B:B,"Compra")-(SUMIFS(G:G,D:D,D137,B:B,"Venda"))</f>
        <v>24</v>
      </c>
      <c r="L137" s="33">
        <f>IF(K137&lt;=0,0,ROUND(M137*K137,2))</f>
        <v>2844.96</v>
      </c>
      <c r="M137" s="33">
        <f>IF(K137&lt;=0,0,IFERROR(ROUND(SUMIFS(I:I,D:D,D137,B:B,"Compra")/SUMIFS(G:G,D:D,D137,B:B,"Compra"),2),""))</f>
        <v>118.54</v>
      </c>
    </row>
    <row r="138" spans="2:13" ht="15.75" x14ac:dyDescent="0.25">
      <c r="B138" s="29" t="s">
        <v>1665</v>
      </c>
      <c r="C138" s="86">
        <v>44662</v>
      </c>
      <c r="D138" s="16" t="s">
        <v>65</v>
      </c>
      <c r="E138" s="17" t="str">
        <f>VLOOKUP(Tabela13[[#This Row],[Código]],'COTAÇÃO ATUAL'!C:F,4,0)</f>
        <v>CSHG RENDA URBANA-FI IMOBILIARIO-FII</v>
      </c>
      <c r="F138" s="12" t="s">
        <v>1662</v>
      </c>
      <c r="G138" s="12">
        <v>2</v>
      </c>
      <c r="H138" s="11">
        <v>113.89</v>
      </c>
      <c r="I138" s="32">
        <f>Tabela13[[#This Row],[Quantidade]]*Tabela13[[#This Row],[Cotação na Compra ou Venda]]</f>
        <v>227.78</v>
      </c>
      <c r="J138" s="80">
        <f>SUMIFS(G:G,D:D,D138,B:B,"Compra")-(SUMIFS(G:G,D:D,D138,B:B,"Venda"))</f>
        <v>24</v>
      </c>
      <c r="K138" s="81">
        <f>SUMIFS(G:G,D:D,D138,B:B,"Compra")-(SUMIFS(G:G,D:D,D138,B:B,"Venda"))</f>
        <v>24</v>
      </c>
      <c r="L138" s="32">
        <f>IF(K138&lt;=0,0,ROUND(M138*K138,2))</f>
        <v>2844.96</v>
      </c>
      <c r="M138" s="32">
        <f>IF(K138&lt;=0,0,IFERROR(ROUND(SUMIFS(I:I,D:D,D138,B:B,"Compra")/SUMIFS(G:G,D:D,D138,B:B,"Compra"),2),""))</f>
        <v>118.54</v>
      </c>
    </row>
    <row r="139" spans="2:13" ht="15.75" x14ac:dyDescent="0.25">
      <c r="B139" s="29" t="s">
        <v>1665</v>
      </c>
      <c r="C139" s="86">
        <v>44664</v>
      </c>
      <c r="D139" s="16" t="s">
        <v>12</v>
      </c>
      <c r="E139" s="17" t="str">
        <f>VLOOKUP(Tabela13[[#This Row],[Código]],'COTAÇÃO ATUAL'!C:F,4,0)</f>
        <v>FI IMOBILIARIO FII BTG PACTUAL FUNDO DE FUNDOS</v>
      </c>
      <c r="F139" s="12" t="s">
        <v>1662</v>
      </c>
      <c r="G139" s="12">
        <v>10</v>
      </c>
      <c r="H139" s="11">
        <v>67.540000000000006</v>
      </c>
      <c r="I139" s="32">
        <f>Tabela13[[#This Row],[Quantidade]]*Tabela13[[#This Row],[Cotação na Compra ou Venda]]</f>
        <v>675.40000000000009</v>
      </c>
      <c r="J139" s="80">
        <f>SUMIFS(G:G,D:D,D139,B:B,"Compra")-(SUMIFS(G:G,D:D,D139,B:B,"Venda"))</f>
        <v>54</v>
      </c>
      <c r="K139" s="81">
        <f>SUMIFS(G:G,D:D,D139,B:B,"Compra")-(SUMIFS(G:G,D:D,D139,B:B,"Venda"))</f>
        <v>54</v>
      </c>
      <c r="L139" s="32">
        <f t="shared" ref="L139:L140" si="24">IF(K139&lt;=0,0,ROUND(M139*K139,2))</f>
        <v>4202.28</v>
      </c>
      <c r="M139" s="32">
        <f>IF(K139&lt;=0,0,IFERROR(ROUND(SUMIFS(I:I,D:D,D139,B:B,"Compra")/SUMIFS(G:G,D:D,D139,B:B,"Compra"),2),""))</f>
        <v>77.819999999999993</v>
      </c>
    </row>
    <row r="140" spans="2:13" ht="15.75" x14ac:dyDescent="0.25">
      <c r="B140" s="29" t="s">
        <v>1665</v>
      </c>
      <c r="C140" s="86">
        <v>44664</v>
      </c>
      <c r="D140" s="16" t="s">
        <v>20</v>
      </c>
      <c r="E140" s="17" t="str">
        <f>VLOOKUP(Tabela13[[#This Row],[Código]],'COTAÇÃO ATUAL'!C:F,4,0)</f>
        <v>FII BTG PACTUAL CORPORATE OFFICE FUND</v>
      </c>
      <c r="F140" s="12" t="s">
        <v>1662</v>
      </c>
      <c r="G140" s="12">
        <v>4</v>
      </c>
      <c r="H140" s="11">
        <v>70.45</v>
      </c>
      <c r="I140" s="32">
        <f>Tabela13[[#This Row],[Quantidade]]*Tabela13[[#This Row],[Cotação na Compra ou Venda]]</f>
        <v>281.8</v>
      </c>
      <c r="J140" s="80">
        <f>SUMIFS(G:G,D:D,D140,B:B,"Compra")-(SUMIFS(G:G,D:D,D140,B:B,"Venda"))</f>
        <v>53</v>
      </c>
      <c r="K140" s="81">
        <f>SUMIFS(G:G,D:D,D140,B:B,"Compra")-(SUMIFS(G:G,D:D,D140,B:B,"Venda"))</f>
        <v>53</v>
      </c>
      <c r="L140" s="32">
        <f t="shared" si="24"/>
        <v>3941.61</v>
      </c>
      <c r="M140" s="32">
        <f>IF(K140&lt;=0,0,IFERROR(ROUND(SUMIFS(I:I,D:D,D140,B:B,"Compra")/SUMIFS(G:G,D:D,D140,B:B,"Compra"),2),""))</f>
        <v>74.37</v>
      </c>
    </row>
    <row r="141" spans="2:13" ht="15.75" x14ac:dyDescent="0.25">
      <c r="B141" s="29" t="s">
        <v>1665</v>
      </c>
      <c r="C141" s="86">
        <v>44664</v>
      </c>
      <c r="D141" s="16" t="s">
        <v>151</v>
      </c>
      <c r="E141" s="17" t="str">
        <f>VLOOKUP(Tabela13[[#This Row],[Código]],'COTAÇÃO ATUAL'!C:F,4,0)</f>
        <v>VINCI OFFICES FDO INV IMOB - FII VINC COR</v>
      </c>
      <c r="F141" s="12" t="s">
        <v>1662</v>
      </c>
      <c r="G141" s="12">
        <v>2</v>
      </c>
      <c r="H141" s="11">
        <v>50.61</v>
      </c>
      <c r="I141" s="32">
        <f>Tabela13[[#This Row],[Quantidade]]*Tabela13[[#This Row],[Cotação na Compra ou Venda]]</f>
        <v>101.22</v>
      </c>
      <c r="J141" s="80">
        <f>SUMIFS(G:G,D:D,D141,B:B,"Compra")-(SUMIFS(G:G,D:D,D141,B:B,"Venda"))</f>
        <v>60</v>
      </c>
      <c r="K141" s="81">
        <f>SUMIFS(G:G,D:D,D141,B:B,"Compra")-(SUMIFS(G:G,D:D,D141,B:B,"Venda"))</f>
        <v>60</v>
      </c>
      <c r="L141" s="32">
        <f>IF(K141&lt;=0,0,ROUND(M141*K141,2))</f>
        <v>3229.8</v>
      </c>
      <c r="M141" s="32">
        <f>IF(K141&lt;=0,0,IFERROR(ROUND(SUMIFS(I:I,D:D,D141,B:B,"Compra")/SUMIFS(G:G,D:D,D141,B:B,"Compra"),2),""))</f>
        <v>53.83</v>
      </c>
    </row>
    <row r="142" spans="2:13" ht="15.75" x14ac:dyDescent="0.25">
      <c r="B142" s="29" t="s">
        <v>1665</v>
      </c>
      <c r="C142" s="86">
        <v>44665</v>
      </c>
      <c r="D142" s="16" t="s">
        <v>166</v>
      </c>
      <c r="E142" s="17" t="str">
        <f>VLOOKUP(Tabela13[[#This Row],[Código]],'COTAÇÃO ATUAL'!C:F,4,0)</f>
        <v>XP MALLS FUNDO DE INVESTIMENTO IMOBILIARIO</v>
      </c>
      <c r="F142" s="12" t="s">
        <v>1662</v>
      </c>
      <c r="G142" s="12">
        <v>3</v>
      </c>
      <c r="H142" s="11">
        <v>100</v>
      </c>
      <c r="I142" s="32">
        <f>Tabela13[[#This Row],[Quantidade]]*Tabela13[[#This Row],[Cotação na Compra ou Venda]]</f>
        <v>300</v>
      </c>
      <c r="J142" s="80">
        <f>SUMIFS(G:G,D:D,D142,B:B,"Compra")-(SUMIFS(G:G,D:D,D142,B:B,"Venda"))</f>
        <v>22</v>
      </c>
      <c r="K142" s="81">
        <f>SUMIFS(G:G,D:D,D142,B:B,"Compra")-(SUMIFS(G:G,D:D,D142,B:B,"Venda"))</f>
        <v>22</v>
      </c>
      <c r="L142" s="32">
        <f t="shared" ref="L142" si="25">IF(K142&lt;=0,0,ROUND(M142*K142,2))</f>
        <v>2317.6999999999998</v>
      </c>
      <c r="M142" s="32">
        <f>IF(K142&lt;=0,0,IFERROR(ROUND(SUMIFS(I:I,D:D,D142,B:B,"Compra")/SUMIFS(G:G,D:D,D142,B:B,"Compra"),2),""))</f>
        <v>105.35</v>
      </c>
    </row>
    <row r="143" spans="2:13" ht="15.75" x14ac:dyDescent="0.25">
      <c r="B143" s="29" t="s">
        <v>1665</v>
      </c>
      <c r="C143" s="86">
        <v>44669</v>
      </c>
      <c r="D143" s="16" t="s">
        <v>150</v>
      </c>
      <c r="E143" s="17" t="str">
        <f>VLOOKUP(Tabela13[[#This Row],[Código]],'COTAÇÃO ATUAL'!C:F,4,0)</f>
        <v>VINCI LOGISTICA FUNDO DE INVESTIMENTO IMOBILIARIO</v>
      </c>
      <c r="F143" s="12" t="s">
        <v>1662</v>
      </c>
      <c r="G143" s="12">
        <v>4</v>
      </c>
      <c r="H143" s="11">
        <v>101.84</v>
      </c>
      <c r="I143" s="32">
        <f>Tabela13[[#This Row],[Quantidade]]*Tabela13[[#This Row],[Cotação na Compra ou Venda]]</f>
        <v>407.36</v>
      </c>
      <c r="J143" s="80">
        <f>SUMIFS(G:G,D:D,D143,B:B,"Compra")-(SUMIFS(G:G,D:D,D143,B:B,"Venda"))</f>
        <v>27</v>
      </c>
      <c r="K143" s="81">
        <f>SUMIFS(G:G,D:D,D143,B:B,"Compra")-(SUMIFS(G:G,D:D,D143,B:B,"Venda"))</f>
        <v>27</v>
      </c>
      <c r="L143" s="32">
        <f t="shared" ref="L143:L145" si="26">IF(K143&lt;=0,0,ROUND(M143*K143,2))</f>
        <v>2935.17</v>
      </c>
      <c r="M143" s="32">
        <f>IF(K143&lt;=0,0,IFERROR(ROUND(SUMIFS(I:I,D:D,D143,B:B,"Compra")/SUMIFS(G:G,D:D,D143,B:B,"Compra"),2),""))</f>
        <v>108.71</v>
      </c>
    </row>
    <row r="144" spans="2:13" ht="15.75" x14ac:dyDescent="0.25">
      <c r="B144" s="29" t="s">
        <v>1665</v>
      </c>
      <c r="C144" s="86">
        <v>44669</v>
      </c>
      <c r="D144" s="16" t="s">
        <v>84</v>
      </c>
      <c r="E144" s="17" t="str">
        <f>VLOOKUP(Tabela13[[#This Row],[Código]],'COTAÇÃO ATUAL'!C:F,4,0)</f>
        <v>FUNDO DE INVESTIMENTO IMOBILIARIO - VBI LOGISTICO</v>
      </c>
      <c r="F144" s="12" t="s">
        <v>1662</v>
      </c>
      <c r="G144" s="12">
        <v>2</v>
      </c>
      <c r="H144" s="11">
        <v>99.55</v>
      </c>
      <c r="I144" s="32">
        <f>Tabela13[[#This Row],[Quantidade]]*Tabela13[[#This Row],[Cotação na Compra ou Venda]]</f>
        <v>199.1</v>
      </c>
      <c r="J144" s="80">
        <f>SUMIFS(G:G,D:D,D144,B:B,"Compra")-(SUMIFS(G:G,D:D,D144,B:B,"Venda"))</f>
        <v>29</v>
      </c>
      <c r="K144" s="81">
        <f>SUMIFS(G:G,D:D,D144,B:B,"Compra")-(SUMIFS(G:G,D:D,D144,B:B,"Venda"))</f>
        <v>29</v>
      </c>
      <c r="L144" s="32">
        <f t="shared" si="26"/>
        <v>3103.29</v>
      </c>
      <c r="M144" s="32">
        <f>IF(K144&lt;=0,0,IFERROR(ROUND(SUMIFS(I:I,D:D,D144,B:B,"Compra")/SUMIFS(G:G,D:D,D144,B:B,"Compra"),2),""))</f>
        <v>107.01</v>
      </c>
    </row>
    <row r="145" spans="2:13" ht="15.75" x14ac:dyDescent="0.25">
      <c r="B145" s="29" t="s">
        <v>1665</v>
      </c>
      <c r="C145" s="86">
        <v>44669</v>
      </c>
      <c r="D145" s="16" t="s">
        <v>20</v>
      </c>
      <c r="E145" s="17" t="str">
        <f>VLOOKUP(Tabela13[[#This Row],[Código]],'COTAÇÃO ATUAL'!C:F,4,0)</f>
        <v>FII BTG PACTUAL CORPORATE OFFICE FUND</v>
      </c>
      <c r="F145" s="12" t="s">
        <v>1662</v>
      </c>
      <c r="G145" s="12">
        <v>3</v>
      </c>
      <c r="H145" s="11">
        <v>70.37</v>
      </c>
      <c r="I145" s="32">
        <f>Tabela13[[#This Row],[Quantidade]]*Tabela13[[#This Row],[Cotação na Compra ou Venda]]</f>
        <v>211.11</v>
      </c>
      <c r="J145" s="80">
        <f>SUMIFS(G:G,D:D,D145,B:B,"Compra")-(SUMIFS(G:G,D:D,D145,B:B,"Venda"))</f>
        <v>53</v>
      </c>
      <c r="K145" s="81">
        <f>SUMIFS(G:G,D:D,D145,B:B,"Compra")-(SUMIFS(G:G,D:D,D145,B:B,"Venda"))</f>
        <v>53</v>
      </c>
      <c r="L145" s="32">
        <f t="shared" si="26"/>
        <v>3941.61</v>
      </c>
      <c r="M145" s="32">
        <f>IF(K145&lt;=0,0,IFERROR(ROUND(SUMIFS(I:I,D:D,D145,B:B,"Compra")/SUMIFS(G:G,D:D,D145,B:B,"Compra"),2),""))</f>
        <v>74.37</v>
      </c>
    </row>
    <row r="146" spans="2:13" ht="15.75" x14ac:dyDescent="0.25">
      <c r="B146" s="29" t="s">
        <v>1665</v>
      </c>
      <c r="C146" s="86">
        <v>44678</v>
      </c>
      <c r="D146" s="16" t="s">
        <v>64</v>
      </c>
      <c r="E146" s="17" t="str">
        <f>VLOOKUP(Tabela13[[#This Row],[Código]],'COTAÇÃO ATUAL'!C:F,4,0)</f>
        <v>CSHG REAL ESTATE FI IMOBILIARIO-FII</v>
      </c>
      <c r="F146" s="12" t="s">
        <v>1662</v>
      </c>
      <c r="G146" s="12">
        <v>3</v>
      </c>
      <c r="H146" s="11">
        <v>128.19</v>
      </c>
      <c r="I146" s="32">
        <f>Tabela13[[#This Row],[Quantidade]]*Tabela13[[#This Row],[Cotação na Compra ou Venda]]</f>
        <v>384.57</v>
      </c>
      <c r="J146" s="80">
        <f>SUMIFS(G:G,D:D,D146,B:B,"Compra")-(SUMIFS(G:G,D:D,D146,B:B,"Venda"))</f>
        <v>28</v>
      </c>
      <c r="K146" s="81">
        <f>SUMIFS(G:G,D:D,D146,B:B,"Compra")-(SUMIFS(G:G,D:D,D146,B:B,"Venda"))</f>
        <v>28</v>
      </c>
      <c r="L146" s="32">
        <f t="shared" ref="L146:L149" si="27">IF(K146&lt;=0,0,ROUND(M146*K146,2))</f>
        <v>3897.88</v>
      </c>
      <c r="M146" s="32">
        <f>IF(K146&lt;=0,0,IFERROR(ROUND(SUMIFS(I:I,D:D,D146,B:B,"Compra")/SUMIFS(G:G,D:D,D146,B:B,"Compra"),2),""))</f>
        <v>139.21</v>
      </c>
    </row>
    <row r="147" spans="2:13" ht="15.75" x14ac:dyDescent="0.25">
      <c r="B147" s="29" t="s">
        <v>1665</v>
      </c>
      <c r="C147" s="86">
        <v>44679</v>
      </c>
      <c r="D147" s="16" t="s">
        <v>166</v>
      </c>
      <c r="E147" s="17" t="str">
        <f>VLOOKUP(Tabela13[[#This Row],[Código]],'COTAÇÃO ATUAL'!C:F,4,0)</f>
        <v>XP MALLS FUNDO DE INVESTIMENTO IMOBILIARIO</v>
      </c>
      <c r="F147" s="12" t="s">
        <v>2262</v>
      </c>
      <c r="G147" s="12">
        <v>1</v>
      </c>
      <c r="H147" s="11">
        <v>99.6</v>
      </c>
      <c r="I147" s="32">
        <f>Tabela13[[#This Row],[Quantidade]]*Tabela13[[#This Row],[Cotação na Compra ou Venda]]</f>
        <v>99.6</v>
      </c>
      <c r="J147" s="80">
        <f>SUMIFS(G:G,D:D,D147,B:B,"Compra")-(SUMIFS(G:G,D:D,D147,B:B,"Venda"))</f>
        <v>22</v>
      </c>
      <c r="K147" s="81">
        <f>SUMIFS(G:G,D:D,D147,B:B,"Compra")-(SUMIFS(G:G,D:D,D147,B:B,"Venda"))</f>
        <v>22</v>
      </c>
      <c r="L147" s="32">
        <f t="shared" si="27"/>
        <v>2317.6999999999998</v>
      </c>
      <c r="M147" s="32">
        <f>IF(K147&lt;=0,0,IFERROR(ROUND(SUMIFS(I:I,D:D,D147,B:B,"Compra")/SUMIFS(G:G,D:D,D147,B:B,"Compra"),2),""))</f>
        <v>105.35</v>
      </c>
    </row>
    <row r="148" spans="2:13" ht="15.75" x14ac:dyDescent="0.25">
      <c r="B148" s="29" t="s">
        <v>1665</v>
      </c>
      <c r="C148" s="86">
        <v>44680</v>
      </c>
      <c r="D148" s="16" t="s">
        <v>166</v>
      </c>
      <c r="E148" s="17" t="str">
        <f>VLOOKUP(Tabela13[[#This Row],[Código]],'COTAÇÃO ATUAL'!C:F,4,0)</f>
        <v>XP MALLS FUNDO DE INVESTIMENTO IMOBILIARIO</v>
      </c>
      <c r="F148" s="12" t="s">
        <v>2262</v>
      </c>
      <c r="G148" s="12">
        <v>3</v>
      </c>
      <c r="H148" s="11">
        <v>99.12</v>
      </c>
      <c r="I148" s="32">
        <f>Tabela13[[#This Row],[Quantidade]]*Tabela13[[#This Row],[Cotação na Compra ou Venda]]</f>
        <v>297.36</v>
      </c>
      <c r="J148" s="80">
        <f>SUMIFS(G:G,D:D,D148,B:B,"Compra")-(SUMIFS(G:G,D:D,D148,B:B,"Venda"))</f>
        <v>22</v>
      </c>
      <c r="K148" s="81">
        <f>SUMIFS(G:G,D:D,D148,B:B,"Compra")-(SUMIFS(G:G,D:D,D148,B:B,"Venda"))</f>
        <v>22</v>
      </c>
      <c r="L148" s="32">
        <f t="shared" si="27"/>
        <v>2317.6999999999998</v>
      </c>
      <c r="M148" s="32">
        <f>IF(K148&lt;=0,0,IFERROR(ROUND(SUMIFS(I:I,D:D,D148,B:B,"Compra")/SUMIFS(G:G,D:D,D148,B:B,"Compra"),2),""))</f>
        <v>105.35</v>
      </c>
    </row>
    <row r="149" spans="2:13" ht="15.75" x14ac:dyDescent="0.25">
      <c r="B149" s="29" t="s">
        <v>1665</v>
      </c>
      <c r="C149" s="84">
        <v>44333</v>
      </c>
      <c r="D149" s="15" t="s">
        <v>151</v>
      </c>
      <c r="E149" s="18" t="str">
        <f>VLOOKUP(Tabela13[[#This Row],[Código]],'COTAÇÃO ATUAL'!C:F,4,0)</f>
        <v>VINCI OFFICES FDO INV IMOB - FII VINC COR</v>
      </c>
      <c r="F149" s="13" t="s">
        <v>2262</v>
      </c>
      <c r="G149" s="13">
        <v>4</v>
      </c>
      <c r="H149" s="14">
        <v>48</v>
      </c>
      <c r="I149" s="33">
        <f>Tabela13[[#This Row],[Quantidade]]*Tabela13[[#This Row],[Cotação na Compra ou Venda]]</f>
        <v>192</v>
      </c>
      <c r="J149" s="82">
        <f>SUMIFS(G:G,D:D,D149,B:B,"Compra")-(SUMIFS(G:G,D:D,D149,B:B,"Venda"))</f>
        <v>60</v>
      </c>
      <c r="K149" s="83">
        <f>SUMIFS(G:G,D:D,D149,B:B,"Compra")-(SUMIFS(G:G,D:D,D149,B:B,"Venda"))</f>
        <v>60</v>
      </c>
      <c r="L149" s="33">
        <f t="shared" si="27"/>
        <v>3229.8</v>
      </c>
      <c r="M149" s="33">
        <f>IF(K149&lt;=0,0,IFERROR(ROUND(SUMIFS(I:I,D:D,D149,B:B,"Compra")/SUMIFS(G:G,D:D,D149,B:B,"Compra"),2),""))</f>
        <v>53.83</v>
      </c>
    </row>
    <row r="150" spans="2:13" ht="15.75" x14ac:dyDescent="0.25">
      <c r="B150" s="29" t="s">
        <v>1665</v>
      </c>
      <c r="C150" s="84">
        <v>44708</v>
      </c>
      <c r="D150" s="15" t="s">
        <v>20</v>
      </c>
      <c r="E150" s="18" t="str">
        <f>VLOOKUP(Tabela13[[#This Row],[Código]],'COTAÇÃO ATUAL'!C:F,4,0)</f>
        <v>FII BTG PACTUAL CORPORATE OFFICE FUND</v>
      </c>
      <c r="F150" s="13" t="s">
        <v>1662</v>
      </c>
      <c r="G150" s="13">
        <v>5</v>
      </c>
      <c r="H150" s="14">
        <v>66.56</v>
      </c>
      <c r="I150" s="33">
        <f>Tabela13[[#This Row],[Quantidade]]*Tabela13[[#This Row],[Cotação na Compra ou Venda]]</f>
        <v>332.8</v>
      </c>
      <c r="J150" s="82">
        <f>SUMIFS(G:G,D:D,D150,B:B,"Compra")-(SUMIFS(G:G,D:D,D150,B:B,"Venda"))</f>
        <v>53</v>
      </c>
      <c r="K150" s="83">
        <f>SUMIFS(G:G,D:D,D150,B:B,"Compra")-(SUMIFS(G:G,D:D,D150,B:B,"Venda"))</f>
        <v>53</v>
      </c>
      <c r="L150" s="33">
        <f>IF(K150&lt;=0,0,ROUND(M150*K150,2))</f>
        <v>3941.61</v>
      </c>
      <c r="M150" s="33">
        <f>IF(K150&lt;=0,0,IFERROR(ROUND(SUMIFS(I:I,D:D,D150,B:B,"Compra")/SUMIFS(G:G,D:D,D150,B:B,"Compra"),2),""))</f>
        <v>74.37</v>
      </c>
    </row>
    <row r="151" spans="2:13" ht="15.75" x14ac:dyDescent="0.25">
      <c r="B151" s="29" t="s">
        <v>1665</v>
      </c>
      <c r="C151" s="84">
        <v>44708</v>
      </c>
      <c r="D151" s="16" t="s">
        <v>80</v>
      </c>
      <c r="E151" s="17" t="str">
        <f>VLOOKUP(Tabela13[[#This Row],[Código]],'COTAÇÃO ATUAL'!C:F,4,0)</f>
        <v>KINEA RENDA IMOBILIARIA FII</v>
      </c>
      <c r="F151" s="13" t="s">
        <v>1662</v>
      </c>
      <c r="G151" s="12">
        <v>3</v>
      </c>
      <c r="H151" s="11">
        <v>132.34</v>
      </c>
      <c r="I151" s="32">
        <f>Tabela13[[#This Row],[Quantidade]]*Tabela13[[#This Row],[Cotação na Compra ou Venda]]</f>
        <v>397.02</v>
      </c>
      <c r="J151" s="80">
        <f>SUMIFS(G:G,D:D,D151,B:B,"Compra")-(SUMIFS(G:G,D:D,D151,B:B,"Venda"))</f>
        <v>30</v>
      </c>
      <c r="K151" s="81">
        <f>SUMIFS(G:G,D:D,D151,B:B,"Compra")-(SUMIFS(G:G,D:D,D151,B:B,"Venda"))</f>
        <v>30</v>
      </c>
      <c r="L151" s="32">
        <f t="shared" ref="L151:L152" si="28">IF(K151&lt;=0,0,ROUND(M151*K151,2))</f>
        <v>4487.1000000000004</v>
      </c>
      <c r="M151" s="32">
        <f>IF(K151&lt;=0,0,IFERROR(ROUND(SUMIFS(I:I,D:D,D151,B:B,"Compra")/SUMIFS(G:G,D:D,D151,B:B,"Compra"),2),""))</f>
        <v>149.57</v>
      </c>
    </row>
    <row r="152" spans="2:13" ht="15.75" x14ac:dyDescent="0.25">
      <c r="B152" s="29" t="s">
        <v>1665</v>
      </c>
      <c r="C152" s="84">
        <v>44708</v>
      </c>
      <c r="D152" s="16" t="s">
        <v>84</v>
      </c>
      <c r="E152" s="17" t="str">
        <f>VLOOKUP(Tabela13[[#This Row],[Código]],'COTAÇÃO ATUAL'!C:F,4,0)</f>
        <v>FUNDO DE INVESTIMENTO IMOBILIARIO - VBI LOGISTICO</v>
      </c>
      <c r="F152" s="13" t="s">
        <v>1662</v>
      </c>
      <c r="G152" s="12">
        <v>3</v>
      </c>
      <c r="H152" s="11">
        <v>100.64</v>
      </c>
      <c r="I152" s="32">
        <f>Tabela13[[#This Row],[Quantidade]]*Tabela13[[#This Row],[Cotação na Compra ou Venda]]</f>
        <v>301.92</v>
      </c>
      <c r="J152" s="80">
        <f>SUMIFS(G:G,D:D,D152,B:B,"Compra")-(SUMIFS(G:G,D:D,D152,B:B,"Venda"))</f>
        <v>29</v>
      </c>
      <c r="K152" s="81">
        <f>SUMIFS(G:G,D:D,D152,B:B,"Compra")-(SUMIFS(G:G,D:D,D152,B:B,"Venda"))</f>
        <v>29</v>
      </c>
      <c r="L152" s="32">
        <f t="shared" si="28"/>
        <v>3103.29</v>
      </c>
      <c r="M152" s="32">
        <f>IF(K152&lt;=0,0,IFERROR(ROUND(SUMIFS(I:I,D:D,D152,B:B,"Compra")/SUMIFS(G:G,D:D,D152,B:B,"Compra"),2),""))</f>
        <v>107.01</v>
      </c>
    </row>
    <row r="153" spans="2:13" ht="15.75" x14ac:dyDescent="0.25">
      <c r="B153" s="29" t="s">
        <v>1665</v>
      </c>
      <c r="C153" s="84">
        <v>44708</v>
      </c>
      <c r="D153" s="16" t="s">
        <v>151</v>
      </c>
      <c r="E153" s="17" t="str">
        <f>VLOOKUP(Tabela13[[#This Row],[Código]],'COTAÇÃO ATUAL'!C:F,4,0)</f>
        <v>VINCI OFFICES FDO INV IMOB - FII VINC COR</v>
      </c>
      <c r="F153" s="12" t="s">
        <v>1662</v>
      </c>
      <c r="G153" s="12">
        <v>7</v>
      </c>
      <c r="H153" s="11">
        <v>47.52</v>
      </c>
      <c r="I153" s="32">
        <f>Tabela13[[#This Row],[Quantidade]]*Tabela13[[#This Row],[Cotação na Compra ou Venda]]</f>
        <v>332.64000000000004</v>
      </c>
      <c r="J153" s="80">
        <f>SUMIFS(G:G,D:D,D153,B:B,"Compra")-(SUMIFS(G:G,D:D,D153,B:B,"Venda"))</f>
        <v>60</v>
      </c>
      <c r="K153" s="81">
        <f>SUMIFS(G:G,D:D,D153,B:B,"Compra")-(SUMIFS(G:G,D:D,D153,B:B,"Venda"))</f>
        <v>60</v>
      </c>
      <c r="L153" s="32">
        <f t="shared" ref="L153:L157" si="29">IF(K153&lt;=0,0,ROUND(M153*K153,2))</f>
        <v>3229.8</v>
      </c>
      <c r="M153" s="32">
        <f>IF(K153&lt;=0,0,IFERROR(ROUND(SUMIFS(I:I,D:D,D153,B:B,"Compra")/SUMIFS(G:G,D:D,D153,B:B,"Compra"),2),""))</f>
        <v>53.83</v>
      </c>
    </row>
    <row r="154" spans="2:13" ht="15.75" x14ac:dyDescent="0.25">
      <c r="B154" s="29" t="s">
        <v>1665</v>
      </c>
      <c r="C154" s="84">
        <v>44727</v>
      </c>
      <c r="D154" s="15" t="s">
        <v>124</v>
      </c>
      <c r="E154" s="18" t="str">
        <f>VLOOKUP(Tabela13[[#This Row],[Código]],'COTAÇÃO ATUAL'!C:F,4,0)</f>
        <v>FII RIO BRAVO RENDA VAREJO-FII</v>
      </c>
      <c r="F154" s="12" t="s">
        <v>1662</v>
      </c>
      <c r="G154" s="13">
        <v>4</v>
      </c>
      <c r="H154" s="14">
        <v>91.12</v>
      </c>
      <c r="I154" s="33">
        <f>Tabela13[[#This Row],[Quantidade]]*Tabela13[[#This Row],[Cotação na Compra ou Venda]]</f>
        <v>364.48</v>
      </c>
      <c r="J154" s="82">
        <f>SUMIFS(G:G,D:D,D154,B:B,"Compra")-(SUMIFS(G:G,D:D,D154,B:B,"Venda"))</f>
        <v>31</v>
      </c>
      <c r="K154" s="83">
        <f>SUMIFS(G:G,D:D,D154,B:B,"Compra")-(SUMIFS(G:G,D:D,D154,B:B,"Venda"))</f>
        <v>31</v>
      </c>
      <c r="L154" s="33">
        <f t="shared" si="29"/>
        <v>3304.6</v>
      </c>
      <c r="M154" s="33">
        <f>IF(K154&lt;=0,0,IFERROR(ROUND(SUMIFS(I:I,D:D,D154,B:B,"Compra")/SUMIFS(G:G,D:D,D154,B:B,"Compra"),2),""))</f>
        <v>106.6</v>
      </c>
    </row>
    <row r="155" spans="2:13" ht="15.75" x14ac:dyDescent="0.25">
      <c r="B155" s="29" t="s">
        <v>1665</v>
      </c>
      <c r="C155" s="84">
        <v>44727</v>
      </c>
      <c r="D155" s="15" t="s">
        <v>150</v>
      </c>
      <c r="E155" s="18" t="str">
        <f>VLOOKUP(Tabela13[[#This Row],[Código]],'COTAÇÃO ATUAL'!C:F,4,0)</f>
        <v>VINCI LOGISTICA FUNDO DE INVESTIMENTO IMOBILIARIO</v>
      </c>
      <c r="F155" s="12" t="s">
        <v>1662</v>
      </c>
      <c r="G155" s="13">
        <v>2</v>
      </c>
      <c r="H155" s="14">
        <v>97.31</v>
      </c>
      <c r="I155" s="33">
        <f>Tabela13[[#This Row],[Quantidade]]*Tabela13[[#This Row],[Cotação na Compra ou Venda]]</f>
        <v>194.62</v>
      </c>
      <c r="J155" s="82">
        <f>SUMIFS(G:G,D:D,D155,B:B,"Compra")-(SUMIFS(G:G,D:D,D155,B:B,"Venda"))</f>
        <v>27</v>
      </c>
      <c r="K155" s="83">
        <f>SUMIFS(G:G,D:D,D155,B:B,"Compra")-(SUMIFS(G:G,D:D,D155,B:B,"Venda"))</f>
        <v>27</v>
      </c>
      <c r="L155" s="33">
        <f t="shared" si="29"/>
        <v>2935.17</v>
      </c>
      <c r="M155" s="33">
        <f>IF(K155&lt;=0,0,IFERROR(ROUND(SUMIFS(I:I,D:D,D155,B:B,"Compra")/SUMIFS(G:G,D:D,D155,B:B,"Compra"),2),""))</f>
        <v>108.71</v>
      </c>
    </row>
    <row r="156" spans="2:13" ht="15.75" x14ac:dyDescent="0.25">
      <c r="B156" s="29" t="s">
        <v>1665</v>
      </c>
      <c r="C156" s="84">
        <v>44727</v>
      </c>
      <c r="D156" s="15" t="s">
        <v>64</v>
      </c>
      <c r="E156" s="18" t="str">
        <f>VLOOKUP(Tabela13[[#This Row],[Código]],'COTAÇÃO ATUAL'!C:F,4,0)</f>
        <v>CSHG REAL ESTATE FI IMOBILIARIO-FII</v>
      </c>
      <c r="F156" s="12" t="s">
        <v>1662</v>
      </c>
      <c r="G156" s="13">
        <v>2</v>
      </c>
      <c r="H156" s="14">
        <v>128.72</v>
      </c>
      <c r="I156" s="33">
        <f>Tabela13[[#This Row],[Quantidade]]*Tabela13[[#This Row],[Cotação na Compra ou Venda]]</f>
        <v>257.44</v>
      </c>
      <c r="J156" s="82">
        <f>SUMIFS(G:G,D:D,D156,B:B,"Compra")-(SUMIFS(G:G,D:D,D156,B:B,"Venda"))</f>
        <v>28</v>
      </c>
      <c r="K156" s="83">
        <f>SUMIFS(G:G,D:D,D156,B:B,"Compra")-(SUMIFS(G:G,D:D,D156,B:B,"Venda"))</f>
        <v>28</v>
      </c>
      <c r="L156" s="33">
        <f t="shared" si="29"/>
        <v>3897.88</v>
      </c>
      <c r="M156" s="33">
        <f>IF(K156&lt;=0,0,IFERROR(ROUND(SUMIFS(I:I,D:D,D156,B:B,"Compra")/SUMIFS(G:G,D:D,D156,B:B,"Compra"),2),""))</f>
        <v>139.21</v>
      </c>
    </row>
    <row r="157" spans="2:13" ht="15.75" x14ac:dyDescent="0.25">
      <c r="B157" s="29" t="s">
        <v>1665</v>
      </c>
      <c r="C157" s="86">
        <v>44729</v>
      </c>
      <c r="D157" s="16" t="s">
        <v>62</v>
      </c>
      <c r="E157" s="17" t="str">
        <f>VLOOKUP(Tabela13[[#This Row],[Código]],'COTAÇÃO ATUAL'!C:F,4,0)</f>
        <v>CSHG LOGISTICA FND DE INVSTMNT IMBLR FII</v>
      </c>
      <c r="F157" s="12" t="s">
        <v>1662</v>
      </c>
      <c r="G157" s="12">
        <v>3</v>
      </c>
      <c r="H157" s="11">
        <v>163.47</v>
      </c>
      <c r="I157" s="32">
        <f>Tabela13[[#This Row],[Quantidade]]*Tabela13[[#This Row],[Cotação na Compra ou Venda]]</f>
        <v>490.40999999999997</v>
      </c>
      <c r="J157" s="80">
        <f>SUMIFS(G:G,D:D,D157,B:B,"Compra")-(SUMIFS(G:G,D:D,D157,B:B,"Venda"))</f>
        <v>21</v>
      </c>
      <c r="K157" s="81">
        <f>SUMIFS(G:G,D:D,D157,B:B,"Compra")-(SUMIFS(G:G,D:D,D157,B:B,"Venda"))</f>
        <v>21</v>
      </c>
      <c r="L157" s="32">
        <f t="shared" si="29"/>
        <v>3494.19</v>
      </c>
      <c r="M157" s="32">
        <f>IF(K157&lt;=0,0,IFERROR(ROUND(SUMIFS(I:I,D:D,D157,B:B,"Compra")/SUMIFS(G:G,D:D,D157,B:B,"Compra"),2),""))</f>
        <v>166.39</v>
      </c>
    </row>
    <row r="158" spans="2:13" ht="15.75" x14ac:dyDescent="0.25">
      <c r="B158" s="29" t="s">
        <v>1665</v>
      </c>
      <c r="C158" s="86">
        <v>44750</v>
      </c>
      <c r="D158" s="16" t="s">
        <v>64</v>
      </c>
      <c r="E158" s="17" t="str">
        <f>VLOOKUP(Tabela13[[#This Row],[Código]],'COTAÇÃO ATUAL'!C:F,4,0)</f>
        <v>CSHG REAL ESTATE FI IMOBILIARIO-FII</v>
      </c>
      <c r="F158" s="12" t="s">
        <v>1662</v>
      </c>
      <c r="G158" s="12">
        <v>2</v>
      </c>
      <c r="H158" s="11">
        <v>127.89</v>
      </c>
      <c r="I158" s="32">
        <f>Tabela13[[#This Row],[Quantidade]]*Tabela13[[#This Row],[Cotação na Compra ou Venda]]</f>
        <v>255.78</v>
      </c>
      <c r="J158" s="80">
        <f>SUMIFS(G:G,D:D,D158,B:B,"Compra")-(SUMIFS(G:G,D:D,D158,B:B,"Venda"))</f>
        <v>28</v>
      </c>
      <c r="K158" s="81">
        <f>SUMIFS(G:G,D:D,D158,B:B,"Compra")-(SUMIFS(G:G,D:D,D158,B:B,"Venda"))</f>
        <v>28</v>
      </c>
      <c r="L158" s="32">
        <f t="shared" ref="L158:L162" si="30">IF(K158&lt;=0,0,ROUND(M158*K158,2))</f>
        <v>3897.88</v>
      </c>
      <c r="M158" s="32">
        <f>IF(K158&lt;=0,0,IFERROR(ROUND(SUMIFS(I:I,D:D,D158,B:B,"Compra")/SUMIFS(G:G,D:D,D158,B:B,"Compra"),2),""))</f>
        <v>139.21</v>
      </c>
    </row>
    <row r="159" spans="2:13" ht="15.75" x14ac:dyDescent="0.25">
      <c r="B159" s="29" t="s">
        <v>1665</v>
      </c>
      <c r="C159" s="86">
        <v>44750</v>
      </c>
      <c r="D159" s="16" t="s">
        <v>62</v>
      </c>
      <c r="E159" s="17" t="str">
        <f>VLOOKUP(Tabela13[[#This Row],[Código]],'COTAÇÃO ATUAL'!C:F,4,0)</f>
        <v>CSHG LOGISTICA FND DE INVSTMNT IMBLR FII</v>
      </c>
      <c r="F159" s="12" t="s">
        <v>1662</v>
      </c>
      <c r="G159" s="12">
        <v>2</v>
      </c>
      <c r="H159" s="11">
        <v>161.94999999999999</v>
      </c>
      <c r="I159" s="32">
        <f>Tabela13[[#This Row],[Quantidade]]*Tabela13[[#This Row],[Cotação na Compra ou Venda]]</f>
        <v>323.89999999999998</v>
      </c>
      <c r="J159" s="80">
        <f>SUMIFS(G:G,D:D,D159,B:B,"Compra")-(SUMIFS(G:G,D:D,D159,B:B,"Venda"))</f>
        <v>21</v>
      </c>
      <c r="K159" s="81">
        <f>SUMIFS(G:G,D:D,D159,B:B,"Compra")-(SUMIFS(G:G,D:D,D159,B:B,"Venda"))</f>
        <v>21</v>
      </c>
      <c r="L159" s="32">
        <f t="shared" si="30"/>
        <v>3494.19</v>
      </c>
      <c r="M159" s="32">
        <f>IF(K159&lt;=0,0,IFERROR(ROUND(SUMIFS(I:I,D:D,D159,B:B,"Compra")/SUMIFS(G:G,D:D,D159,B:B,"Compra"),2),""))</f>
        <v>166.39</v>
      </c>
    </row>
    <row r="160" spans="2:13" ht="15.75" x14ac:dyDescent="0.25">
      <c r="B160" s="29" t="s">
        <v>1665</v>
      </c>
      <c r="C160" s="86">
        <v>44750</v>
      </c>
      <c r="D160" s="16" t="s">
        <v>150</v>
      </c>
      <c r="E160" s="17" t="str">
        <f>VLOOKUP(Tabela13[[#This Row],[Código]],'COTAÇÃO ATUAL'!C:F,4,0)</f>
        <v>VINCI LOGISTICA FUNDO DE INVESTIMENTO IMOBILIARIO</v>
      </c>
      <c r="F160" s="12" t="s">
        <v>1662</v>
      </c>
      <c r="G160" s="12">
        <v>2</v>
      </c>
      <c r="H160" s="11">
        <v>94.24</v>
      </c>
      <c r="I160" s="32">
        <f>Tabela13[[#This Row],[Quantidade]]*Tabela13[[#This Row],[Cotação na Compra ou Venda]]</f>
        <v>188.48</v>
      </c>
      <c r="J160" s="80">
        <f>SUMIFS(G:G,D:D,D160,B:B,"Compra")-(SUMIFS(G:G,D:D,D160,B:B,"Venda"))</f>
        <v>27</v>
      </c>
      <c r="K160" s="81">
        <f>SUMIFS(G:G,D:D,D160,B:B,"Compra")-(SUMIFS(G:G,D:D,D160,B:B,"Venda"))</f>
        <v>27</v>
      </c>
      <c r="L160" s="32">
        <f t="shared" si="30"/>
        <v>2935.17</v>
      </c>
      <c r="M160" s="32">
        <f>IF(K160&lt;=0,0,IFERROR(ROUND(SUMIFS(I:I,D:D,D160,B:B,"Compra")/SUMIFS(G:G,D:D,D160,B:B,"Compra"),2),""))</f>
        <v>108.71</v>
      </c>
    </row>
    <row r="161" spans="2:13" ht="15.75" x14ac:dyDescent="0.25">
      <c r="B161" s="29" t="s">
        <v>1665</v>
      </c>
      <c r="C161" s="86">
        <v>44750</v>
      </c>
      <c r="D161" s="16" t="s">
        <v>124</v>
      </c>
      <c r="E161" s="17" t="str">
        <f>VLOOKUP(Tabela13[[#This Row],[Código]],'COTAÇÃO ATUAL'!C:F,4,0)</f>
        <v>FII RIO BRAVO RENDA VAREJO-FII</v>
      </c>
      <c r="F161" s="12" t="s">
        <v>1662</v>
      </c>
      <c r="G161" s="12">
        <v>3</v>
      </c>
      <c r="H161" s="11">
        <v>89.7</v>
      </c>
      <c r="I161" s="32">
        <f>Tabela13[[#This Row],[Quantidade]]*Tabela13[[#This Row],[Cotação na Compra ou Venda]]</f>
        <v>269.10000000000002</v>
      </c>
      <c r="J161" s="80">
        <f>SUMIFS(G:G,D:D,D161,B:B,"Compra")-(SUMIFS(G:G,D:D,D161,B:B,"Venda"))</f>
        <v>31</v>
      </c>
      <c r="K161" s="81">
        <f>SUMIFS(G:G,D:D,D161,B:B,"Compra")-(SUMIFS(G:G,D:D,D161,B:B,"Venda"))</f>
        <v>31</v>
      </c>
      <c r="L161" s="32">
        <f t="shared" si="30"/>
        <v>3304.6</v>
      </c>
      <c r="M161" s="32">
        <f>IF(K161&lt;=0,0,IFERROR(ROUND(SUMIFS(I:I,D:D,D161,B:B,"Compra")/SUMIFS(G:G,D:D,D161,B:B,"Compra"),2),""))</f>
        <v>106.6</v>
      </c>
    </row>
    <row r="162" spans="2:13" ht="15.75" x14ac:dyDescent="0.25">
      <c r="B162" s="29" t="s">
        <v>1665</v>
      </c>
      <c r="C162" s="86">
        <v>44750</v>
      </c>
      <c r="D162" s="16" t="s">
        <v>151</v>
      </c>
      <c r="E162" s="17" t="str">
        <f>VLOOKUP(Tabela13[[#This Row],[Código]],'COTAÇÃO ATUAL'!C:F,4,0)</f>
        <v>VINCI OFFICES FDO INV IMOB - FII VINC COR</v>
      </c>
      <c r="F162" s="12" t="s">
        <v>1662</v>
      </c>
      <c r="G162" s="12">
        <v>5</v>
      </c>
      <c r="H162" s="11">
        <v>44.1</v>
      </c>
      <c r="I162" s="32">
        <f>Tabela13[[#This Row],[Quantidade]]*Tabela13[[#This Row],[Cotação na Compra ou Venda]]</f>
        <v>220.5</v>
      </c>
      <c r="J162" s="80">
        <f>SUMIFS(G:G,D:D,D162,B:B,"Compra")-(SUMIFS(G:G,D:D,D162,B:B,"Venda"))</f>
        <v>60</v>
      </c>
      <c r="K162" s="81">
        <f>SUMIFS(G:G,D:D,D162,B:B,"Compra")-(SUMIFS(G:G,D:D,D162,B:B,"Venda"))</f>
        <v>60</v>
      </c>
      <c r="L162" s="32">
        <f t="shared" si="30"/>
        <v>3229.8</v>
      </c>
      <c r="M162" s="32">
        <f>IF(K162&lt;=0,0,IFERROR(ROUND(SUMIFS(I:I,D:D,D162,B:B,"Compra")/SUMIFS(G:G,D:D,D162,B:B,"Compra"),2),""))</f>
        <v>53.83</v>
      </c>
    </row>
    <row r="163" spans="2:13" ht="15.75" x14ac:dyDescent="0.25">
      <c r="B163" s="29" t="s">
        <v>1665</v>
      </c>
      <c r="C163" s="86">
        <v>44764</v>
      </c>
      <c r="D163" s="16" t="s">
        <v>57</v>
      </c>
      <c r="E163" s="17" t="str">
        <f>VLOOKUP(Tabela13[[#This Row],[Código]],'COTAÇÃO ATUAL'!C:F,4,0)</f>
        <v>HECTARE CE - FI IMOBILIARIO</v>
      </c>
      <c r="F163" s="12" t="s">
        <v>1662</v>
      </c>
      <c r="G163" s="12">
        <v>6</v>
      </c>
      <c r="H163" s="11">
        <v>113.59</v>
      </c>
      <c r="I163" s="32">
        <f>Tabela13[[#This Row],[Quantidade]]*Tabela13[[#This Row],[Cotação na Compra ou Venda]]</f>
        <v>681.54</v>
      </c>
      <c r="J163" s="80">
        <f>SUMIFS(G:G,D:D,D163,B:B,"Compra")-(SUMIFS(G:G,D:D,D163,B:B,"Venda"))</f>
        <v>35</v>
      </c>
      <c r="K163" s="81">
        <f>SUMIFS(G:G,D:D,D163,B:B,"Compra")-(SUMIFS(G:G,D:D,D163,B:B,"Venda"))</f>
        <v>35</v>
      </c>
      <c r="L163" s="32">
        <f t="shared" ref="L163:L166" si="31">IF(K163&lt;=0,0,ROUND(M163*K163,2))</f>
        <v>4424.7</v>
      </c>
      <c r="M163" s="32">
        <f>IF(K163&lt;=0,0,IFERROR(ROUND(SUMIFS(I:I,D:D,D163,B:B,"Compra")/SUMIFS(G:G,D:D,D163,B:B,"Compra"),2),""))</f>
        <v>126.42</v>
      </c>
    </row>
    <row r="164" spans="2:13" ht="15.75" x14ac:dyDescent="0.25">
      <c r="B164" s="29" t="s">
        <v>1665</v>
      </c>
      <c r="C164" s="86">
        <v>44764</v>
      </c>
      <c r="D164" s="16" t="s">
        <v>124</v>
      </c>
      <c r="E164" s="17" t="str">
        <f>VLOOKUP(Tabela13[[#This Row],[Código]],'COTAÇÃO ATUAL'!C:F,4,0)</f>
        <v>FII RIO BRAVO RENDA VAREJO-FII</v>
      </c>
      <c r="F164" s="12" t="s">
        <v>1662</v>
      </c>
      <c r="G164" s="12">
        <v>3</v>
      </c>
      <c r="H164" s="11">
        <v>89.84</v>
      </c>
      <c r="I164" s="32">
        <f>Tabela13[[#This Row],[Quantidade]]*Tabela13[[#This Row],[Cotação na Compra ou Venda]]</f>
        <v>269.52</v>
      </c>
      <c r="J164" s="80">
        <f>SUMIFS(G:G,D:D,D164,B:B,"Compra")-(SUMIFS(G:G,D:D,D164,B:B,"Venda"))</f>
        <v>31</v>
      </c>
      <c r="K164" s="81">
        <f>SUMIFS(G:G,D:D,D164,B:B,"Compra")-(SUMIFS(G:G,D:D,D164,B:B,"Venda"))</f>
        <v>31</v>
      </c>
      <c r="L164" s="32">
        <f t="shared" si="31"/>
        <v>3304.6</v>
      </c>
      <c r="M164" s="32">
        <f>IF(K164&lt;=0,0,IFERROR(ROUND(SUMIFS(I:I,D:D,D164,B:B,"Compra")/SUMIFS(G:G,D:D,D164,B:B,"Compra"),2),""))</f>
        <v>106.6</v>
      </c>
    </row>
    <row r="165" spans="2:13" ht="15.75" x14ac:dyDescent="0.25">
      <c r="B165" s="29" t="s">
        <v>1665</v>
      </c>
      <c r="C165" s="86">
        <v>44764</v>
      </c>
      <c r="D165" s="16" t="s">
        <v>20</v>
      </c>
      <c r="E165" s="17" t="str">
        <f>VLOOKUP(Tabela13[[#This Row],[Código]],'COTAÇÃO ATUAL'!C:F,4,0)</f>
        <v>FII BTG PACTUAL CORPORATE OFFICE FUND</v>
      </c>
      <c r="F165" s="12" t="s">
        <v>1662</v>
      </c>
      <c r="G165" s="12">
        <v>5</v>
      </c>
      <c r="H165" s="11">
        <v>55.11</v>
      </c>
      <c r="I165" s="32">
        <f>Tabela13[[#This Row],[Quantidade]]*Tabela13[[#This Row],[Cotação na Compra ou Venda]]</f>
        <v>275.55</v>
      </c>
      <c r="J165" s="80">
        <f>SUMIFS(G:G,D:D,D165,B:B,"Compra")-(SUMIFS(G:G,D:D,D165,B:B,"Venda"))</f>
        <v>53</v>
      </c>
      <c r="K165" s="81">
        <f>SUMIFS(G:G,D:D,D165,B:B,"Compra")-(SUMIFS(G:G,D:D,D165,B:B,"Venda"))</f>
        <v>53</v>
      </c>
      <c r="L165" s="32">
        <f t="shared" si="31"/>
        <v>3941.61</v>
      </c>
      <c r="M165" s="32">
        <f>IF(K165&lt;=0,0,IFERROR(ROUND(SUMIFS(I:I,D:D,D165,B:B,"Compra")/SUMIFS(G:G,D:D,D165,B:B,"Compra"),2),""))</f>
        <v>74.37</v>
      </c>
    </row>
    <row r="166" spans="2:13" ht="15.75" x14ac:dyDescent="0.25">
      <c r="B166" s="29" t="s">
        <v>1665</v>
      </c>
      <c r="C166" s="86">
        <v>44764</v>
      </c>
      <c r="D166" s="16" t="s">
        <v>12</v>
      </c>
      <c r="E166" s="17" t="str">
        <f>VLOOKUP(Tabela13[[#This Row],[Código]],'COTAÇÃO ATUAL'!C:F,4,0)</f>
        <v>FI IMOBILIARIO FII BTG PACTUAL FUNDO DE FUNDOS</v>
      </c>
      <c r="F166" s="12" t="s">
        <v>1662</v>
      </c>
      <c r="G166" s="12">
        <v>5</v>
      </c>
      <c r="H166" s="11">
        <v>66.69</v>
      </c>
      <c r="I166" s="32">
        <f>Tabela13[[#This Row],[Quantidade]]*Tabela13[[#This Row],[Cotação na Compra ou Venda]]</f>
        <v>333.45</v>
      </c>
      <c r="J166" s="80">
        <f>SUMIFS(G:G,D:D,D166,B:B,"Compra")-(SUMIFS(G:G,D:D,D166,B:B,"Venda"))</f>
        <v>54</v>
      </c>
      <c r="K166" s="81">
        <f>SUMIFS(G:G,D:D,D166,B:B,"Compra")-(SUMIFS(G:G,D:D,D166,B:B,"Venda"))</f>
        <v>54</v>
      </c>
      <c r="L166" s="32">
        <f t="shared" si="31"/>
        <v>4202.28</v>
      </c>
      <c r="M166" s="32">
        <f>IF(K166&lt;=0,0,IFERROR(ROUND(SUMIFS(I:I,D:D,D166,B:B,"Compra")/SUMIFS(G:G,D:D,D166,B:B,"Compra"),2),""))</f>
        <v>77.819999999999993</v>
      </c>
    </row>
    <row r="167" spans="2:13" ht="15.75" x14ac:dyDescent="0.25">
      <c r="B167" s="29" t="s">
        <v>1665</v>
      </c>
      <c r="C167" s="86" t="s">
        <v>2314</v>
      </c>
      <c r="D167" s="16" t="s">
        <v>264</v>
      </c>
      <c r="E167" s="17" t="str">
        <f>VLOOKUP(Tabela13[[#This Row],[Código]],'COTAÇÃO ATUAL'!C:F,4,0)</f>
        <v>BANCO SANTANDER BRASIL SA PREFERENCE SHARES</v>
      </c>
      <c r="F167" s="12" t="s">
        <v>2344</v>
      </c>
      <c r="G167" s="12">
        <v>51</v>
      </c>
      <c r="H167" s="11">
        <v>22.73</v>
      </c>
      <c r="I167" s="32">
        <f>Tabela13[[#This Row],[Quantidade]]*Tabela13[[#This Row],[Cotação na Compra ou Venda]]</f>
        <v>1159.23</v>
      </c>
      <c r="J167" s="80">
        <f>SUMIFS(G:G,D:D,D167,B:B,"Compra")-(SUMIFS(G:G,D:D,D167,B:B,"Venda"))</f>
        <v>245</v>
      </c>
      <c r="K167" s="81">
        <f>SUMIFS(G:G,D:D,D167,B:B,"Compra")-(SUMIFS(G:G,D:D,D167,B:B,"Venda"))</f>
        <v>245</v>
      </c>
      <c r="L167" s="32">
        <f t="shared" ref="L167:L205" si="32">IF(K167&lt;=0,0,ROUND(M167*K167,2))</f>
        <v>4412.45</v>
      </c>
      <c r="M167" s="32">
        <f>IF(K167&lt;=0,0,IFERROR(ROUND(SUMIFS(I:I,D:D,D167,B:B,"Compra")/SUMIFS(G:G,D:D,D167,B:B,"Compra"),2),""))</f>
        <v>18.010000000000002</v>
      </c>
    </row>
    <row r="168" spans="2:13" ht="15.75" x14ac:dyDescent="0.25">
      <c r="B168" s="29" t="s">
        <v>1665</v>
      </c>
      <c r="C168" s="86" t="s">
        <v>2315</v>
      </c>
      <c r="D168" s="16" t="s">
        <v>289</v>
      </c>
      <c r="E168" s="17" t="str">
        <f>VLOOKUP(Tabela13[[#This Row],[Código]],'COTAÇÃO ATUAL'!C:F,4,0)</f>
        <v>BANCO DO BRASIL SA</v>
      </c>
      <c r="F168" s="12" t="s">
        <v>2344</v>
      </c>
      <c r="G168" s="12">
        <v>20</v>
      </c>
      <c r="H168" s="11">
        <v>32</v>
      </c>
      <c r="I168" s="32">
        <f>Tabela13[[#This Row],[Quantidade]]*Tabela13[[#This Row],[Cotação na Compra ou Venda]]</f>
        <v>640</v>
      </c>
      <c r="J168" s="80">
        <f>SUMIFS(G:G,D:D,D168,B:B,"Compra")-(SUMIFS(G:G,D:D,D168,B:B,"Venda"))</f>
        <v>110</v>
      </c>
      <c r="K168" s="81">
        <f>SUMIFS(G:G,D:D,D168,B:B,"Compra")-(SUMIFS(G:G,D:D,D168,B:B,"Venda"))</f>
        <v>110</v>
      </c>
      <c r="L168" s="32">
        <f t="shared" si="32"/>
        <v>3378.1</v>
      </c>
      <c r="M168" s="32">
        <f>IF(K168&lt;=0,0,IFERROR(ROUND(SUMIFS(I:I,D:D,D168,B:B,"Compra")/SUMIFS(G:G,D:D,D168,B:B,"Compra"),2),""))</f>
        <v>30.71</v>
      </c>
    </row>
    <row r="169" spans="2:13" ht="15.75" x14ac:dyDescent="0.25">
      <c r="B169" s="29" t="s">
        <v>1665</v>
      </c>
      <c r="C169" s="86" t="s">
        <v>2316</v>
      </c>
      <c r="D169" s="16" t="s">
        <v>262</v>
      </c>
      <c r="E169" s="17" t="str">
        <f>VLOOKUP(Tabela13[[#This Row],[Código]],'COTAÇÃO ATUAL'!C:F,4,0)</f>
        <v>CTEEP CIA TRANSM ENERGIA ELETR PAULISTA PREFERENCE SHARES</v>
      </c>
      <c r="F169" s="12" t="s">
        <v>2344</v>
      </c>
      <c r="G169" s="12">
        <v>50</v>
      </c>
      <c r="H169" s="11">
        <v>21.48</v>
      </c>
      <c r="I169" s="32">
        <f>Tabela13[[#This Row],[Quantidade]]*Tabela13[[#This Row],[Cotação na Compra ou Venda]]</f>
        <v>1074</v>
      </c>
      <c r="J169" s="80">
        <f>SUMIFS(G:G,D:D,D169,B:B,"Compra")-(SUMIFS(G:G,D:D,D169,B:B,"Venda"))</f>
        <v>155</v>
      </c>
      <c r="K169" s="81">
        <f>SUMIFS(G:G,D:D,D169,B:B,"Compra")-(SUMIFS(G:G,D:D,D169,B:B,"Venda"))</f>
        <v>155</v>
      </c>
      <c r="L169" s="32">
        <f t="shared" si="32"/>
        <v>3506.1</v>
      </c>
      <c r="M169" s="32">
        <f>IF(K169&lt;=0,0,IFERROR(ROUND(SUMIFS(I:I,D:D,D169,B:B,"Compra")/SUMIFS(G:G,D:D,D169,B:B,"Compra"),2),""))</f>
        <v>22.62</v>
      </c>
    </row>
    <row r="170" spans="2:13" ht="15.75" x14ac:dyDescent="0.25">
      <c r="B170" s="29" t="s">
        <v>1665</v>
      </c>
      <c r="C170" s="86" t="s">
        <v>2317</v>
      </c>
      <c r="D170" s="16" t="s">
        <v>277</v>
      </c>
      <c r="E170" s="17" t="str">
        <f>VLOOKUP(Tabela13[[#This Row],[Código]],'COTAÇÃO ATUAL'!C:F,4,0)</f>
        <v>TRANSMISSORA ALIANCA ENERGIA ELETRICA SA PREFERENCE SHARES</v>
      </c>
      <c r="F170" s="12" t="s">
        <v>2344</v>
      </c>
      <c r="G170" s="12">
        <v>50</v>
      </c>
      <c r="H170" s="11">
        <v>9.93</v>
      </c>
      <c r="I170" s="32">
        <f>Tabela13[[#This Row],[Quantidade]]*Tabela13[[#This Row],[Cotação na Compra ou Venda]]</f>
        <v>496.5</v>
      </c>
      <c r="J170" s="80">
        <f>SUMIFS(G:G,D:D,D170,B:B,"Compra")-(SUMIFS(G:G,D:D,D170,B:B,"Venda"))</f>
        <v>266</v>
      </c>
      <c r="K170" s="81">
        <f>SUMIFS(G:G,D:D,D170,B:B,"Compra")-(SUMIFS(G:G,D:D,D170,B:B,"Venda"))</f>
        <v>266</v>
      </c>
      <c r="L170" s="32">
        <f t="shared" si="32"/>
        <v>3090.92</v>
      </c>
      <c r="M170" s="32">
        <f>IF(K170&lt;=0,0,IFERROR(ROUND(SUMIFS(I:I,D:D,D170,B:B,"Compra")/SUMIFS(G:G,D:D,D170,B:B,"Compra"),2),""))</f>
        <v>11.62</v>
      </c>
    </row>
    <row r="171" spans="2:13" ht="15.75" x14ac:dyDescent="0.25">
      <c r="B171" s="29" t="s">
        <v>1665</v>
      </c>
      <c r="C171" s="86" t="s">
        <v>2318</v>
      </c>
      <c r="D171" s="16" t="s">
        <v>277</v>
      </c>
      <c r="E171" s="17" t="str">
        <f>VLOOKUP(Tabela13[[#This Row],[Código]],'COTAÇÃO ATUAL'!C:F,4,0)</f>
        <v>TRANSMISSORA ALIANCA ENERGIA ELETRICA SA PREFERENCE SHARES</v>
      </c>
      <c r="F171" s="12" t="s">
        <v>2344</v>
      </c>
      <c r="G171" s="12">
        <v>30</v>
      </c>
      <c r="H171" s="11">
        <v>9.5500000000000007</v>
      </c>
      <c r="I171" s="32">
        <f>Tabela13[[#This Row],[Quantidade]]*Tabela13[[#This Row],[Cotação na Compra ou Venda]]</f>
        <v>286.5</v>
      </c>
      <c r="J171" s="80">
        <f>SUMIFS(G:G,D:D,D171,B:B,"Compra")-(SUMIFS(G:G,D:D,D171,B:B,"Venda"))</f>
        <v>266</v>
      </c>
      <c r="K171" s="81">
        <f>SUMIFS(G:G,D:D,D171,B:B,"Compra")-(SUMIFS(G:G,D:D,D171,B:B,"Venda"))</f>
        <v>266</v>
      </c>
      <c r="L171" s="32">
        <f t="shared" si="32"/>
        <v>3090.92</v>
      </c>
      <c r="M171" s="32">
        <f>IF(K171&lt;=0,0,IFERROR(ROUND(SUMIFS(I:I,D:D,D171,B:B,"Compra")/SUMIFS(G:G,D:D,D171,B:B,"Compra"),2),""))</f>
        <v>11.62</v>
      </c>
    </row>
    <row r="172" spans="2:13" ht="15.75" x14ac:dyDescent="0.25">
      <c r="B172" s="29" t="s">
        <v>1665</v>
      </c>
      <c r="C172" s="86" t="s">
        <v>2319</v>
      </c>
      <c r="D172" s="16" t="s">
        <v>262</v>
      </c>
      <c r="E172" s="17" t="str">
        <f>VLOOKUP(Tabela13[[#This Row],[Código]],'COTAÇÃO ATUAL'!C:F,4,0)</f>
        <v>CTEEP CIA TRANSM ENERGIA ELETR PAULISTA PREFERENCE SHARES</v>
      </c>
      <c r="F172" s="12" t="s">
        <v>2344</v>
      </c>
      <c r="G172" s="12">
        <v>30</v>
      </c>
      <c r="H172" s="11">
        <v>20.73</v>
      </c>
      <c r="I172" s="32">
        <f>Tabela13[[#This Row],[Quantidade]]*Tabela13[[#This Row],[Cotação na Compra ou Venda]]</f>
        <v>621.9</v>
      </c>
      <c r="J172" s="80">
        <f>SUMIFS(G:G,D:D,D172,B:B,"Compra")-(SUMIFS(G:G,D:D,D172,B:B,"Venda"))</f>
        <v>155</v>
      </c>
      <c r="K172" s="81">
        <f>SUMIFS(G:G,D:D,D172,B:B,"Compra")-(SUMIFS(G:G,D:D,D172,B:B,"Venda"))</f>
        <v>155</v>
      </c>
      <c r="L172" s="32">
        <f t="shared" si="32"/>
        <v>3506.1</v>
      </c>
      <c r="M172" s="32">
        <f>IF(K172&lt;=0,0,IFERROR(ROUND(SUMIFS(I:I,D:D,D172,B:B,"Compra")/SUMIFS(G:G,D:D,D172,B:B,"Compra"),2),""))</f>
        <v>22.62</v>
      </c>
    </row>
    <row r="173" spans="2:13" ht="15.75" x14ac:dyDescent="0.25">
      <c r="B173" s="29" t="s">
        <v>1665</v>
      </c>
      <c r="C173" s="86" t="s">
        <v>2320</v>
      </c>
      <c r="D173" s="16" t="s">
        <v>277</v>
      </c>
      <c r="E173" s="17" t="str">
        <f>VLOOKUP(Tabela13[[#This Row],[Código]],'COTAÇÃO ATUAL'!C:F,4,0)</f>
        <v>TRANSMISSORA ALIANCA ENERGIA ELETRICA SA PREFERENCE SHARES</v>
      </c>
      <c r="F173" s="12" t="s">
        <v>2344</v>
      </c>
      <c r="G173" s="12">
        <v>30</v>
      </c>
      <c r="H173" s="11">
        <v>9.44</v>
      </c>
      <c r="I173" s="32">
        <f>Tabela13[[#This Row],[Quantidade]]*Tabela13[[#This Row],[Cotação na Compra ou Venda]]</f>
        <v>283.2</v>
      </c>
      <c r="J173" s="80">
        <f>SUMIFS(G:G,D:D,D173,B:B,"Compra")-(SUMIFS(G:G,D:D,D173,B:B,"Venda"))</f>
        <v>266</v>
      </c>
      <c r="K173" s="81">
        <f>SUMIFS(G:G,D:D,D173,B:B,"Compra")-(SUMIFS(G:G,D:D,D173,B:B,"Venda"))</f>
        <v>266</v>
      </c>
      <c r="L173" s="32">
        <f t="shared" si="32"/>
        <v>3090.92</v>
      </c>
      <c r="M173" s="32">
        <f>IF(K173&lt;=0,0,IFERROR(ROUND(SUMIFS(I:I,D:D,D173,B:B,"Compra")/SUMIFS(G:G,D:D,D173,B:B,"Compra"),2),""))</f>
        <v>11.62</v>
      </c>
    </row>
    <row r="174" spans="2:13" ht="15.75" x14ac:dyDescent="0.25">
      <c r="B174" s="29" t="s">
        <v>1665</v>
      </c>
      <c r="C174" s="86" t="s">
        <v>2321</v>
      </c>
      <c r="D174" s="16" t="s">
        <v>264</v>
      </c>
      <c r="E174" s="17" t="str">
        <f>VLOOKUP(Tabela13[[#This Row],[Código]],'COTAÇÃO ATUAL'!C:F,4,0)</f>
        <v>BANCO SANTANDER BRASIL SA PREFERENCE SHARES</v>
      </c>
      <c r="F174" s="12" t="s">
        <v>2344</v>
      </c>
      <c r="G174" s="12">
        <v>10</v>
      </c>
      <c r="H174" s="11">
        <v>13.23</v>
      </c>
      <c r="I174" s="32">
        <f>Tabela13[[#This Row],[Quantidade]]*Tabela13[[#This Row],[Cotação na Compra ou Venda]]</f>
        <v>132.30000000000001</v>
      </c>
      <c r="J174" s="80">
        <f>SUMIFS(G:G,D:D,D174,B:B,"Compra")-(SUMIFS(G:G,D:D,D174,B:B,"Venda"))</f>
        <v>245</v>
      </c>
      <c r="K174" s="81">
        <f>SUMIFS(G:G,D:D,D174,B:B,"Compra")-(SUMIFS(G:G,D:D,D174,B:B,"Venda"))</f>
        <v>245</v>
      </c>
      <c r="L174" s="32">
        <f t="shared" si="32"/>
        <v>4412.45</v>
      </c>
      <c r="M174" s="32">
        <f>IF(K174&lt;=0,0,IFERROR(ROUND(SUMIFS(I:I,D:D,D174,B:B,"Compra")/SUMIFS(G:G,D:D,D174,B:B,"Compra"),2),""))</f>
        <v>18.010000000000002</v>
      </c>
    </row>
    <row r="175" spans="2:13" ht="15.75" x14ac:dyDescent="0.25">
      <c r="B175" s="29" t="s">
        <v>1665</v>
      </c>
      <c r="C175" s="86" t="s">
        <v>2322</v>
      </c>
      <c r="D175" s="16" t="s">
        <v>266</v>
      </c>
      <c r="E175" s="17" t="str">
        <f>VLOOKUP(Tabela13[[#This Row],[Código]],'COTAÇÃO ATUAL'!C:F,4,0)</f>
        <v>ENERGY OF MINAS GERAIS CO</v>
      </c>
      <c r="F175" s="12" t="s">
        <v>2344</v>
      </c>
      <c r="G175" s="12">
        <v>20</v>
      </c>
      <c r="H175" s="11">
        <v>8.9499999999999993</v>
      </c>
      <c r="I175" s="32">
        <f>Tabela13[[#This Row],[Quantidade]]*Tabela13[[#This Row],[Cotação na Compra ou Venda]]</f>
        <v>179</v>
      </c>
      <c r="J175" s="80">
        <f>SUMIFS(G:G,D:D,D175,B:B,"Compra")-(SUMIFS(G:G,D:D,D175,B:B,"Venda"))</f>
        <v>110</v>
      </c>
      <c r="K175" s="81">
        <f>SUMIFS(G:G,D:D,D175,B:B,"Compra")-(SUMIFS(G:G,D:D,D175,B:B,"Venda"))</f>
        <v>110</v>
      </c>
      <c r="L175" s="32">
        <f t="shared" si="32"/>
        <v>1699.5</v>
      </c>
      <c r="M175" s="32">
        <f>IF(K175&lt;=0,0,IFERROR(ROUND(SUMIFS(I:I,D:D,D175,B:B,"Compra")/SUMIFS(G:G,D:D,D175,B:B,"Compra"),2),""))</f>
        <v>15.45</v>
      </c>
    </row>
    <row r="176" spans="2:13" ht="15.75" x14ac:dyDescent="0.25">
      <c r="B176" s="29" t="s">
        <v>1665</v>
      </c>
      <c r="C176" s="86" t="s">
        <v>2323</v>
      </c>
      <c r="D176" s="16" t="s">
        <v>287</v>
      </c>
      <c r="E176" s="17" t="str">
        <f>VLOOKUP(Tabela13[[#This Row],[Código]],'COTAÇÃO ATUAL'!C:F,4,0)</f>
        <v>COMPANHIA DE SANEAMENTO PARANA SANEPAR</v>
      </c>
      <c r="F176" s="12" t="s">
        <v>2344</v>
      </c>
      <c r="G176" s="12">
        <v>100</v>
      </c>
      <c r="H176" s="11">
        <v>5.18</v>
      </c>
      <c r="I176" s="32">
        <f>Tabela13[[#This Row],[Quantidade]]*Tabela13[[#This Row],[Cotação na Compra ou Venda]]</f>
        <v>518</v>
      </c>
      <c r="J176" s="80">
        <f>SUMIFS(G:G,D:D,D176,B:B,"Compra")-(SUMIFS(G:G,D:D,D176,B:B,"Venda"))</f>
        <v>800</v>
      </c>
      <c r="K176" s="81">
        <f>SUMIFS(G:G,D:D,D176,B:B,"Compra")-(SUMIFS(G:G,D:D,D176,B:B,"Venda"))</f>
        <v>800</v>
      </c>
      <c r="L176" s="32">
        <f t="shared" si="32"/>
        <v>3288</v>
      </c>
      <c r="M176" s="32">
        <f>IF(K176&lt;=0,0,IFERROR(ROUND(SUMIFS(I:I,D:D,D176,B:B,"Compra")/SUMIFS(G:G,D:D,D176,B:B,"Compra"),2),""))</f>
        <v>4.1100000000000003</v>
      </c>
    </row>
    <row r="177" spans="2:13" ht="15.75" x14ac:dyDescent="0.25">
      <c r="B177" s="29" t="s">
        <v>1665</v>
      </c>
      <c r="C177" s="86" t="s">
        <v>2324</v>
      </c>
      <c r="D177" s="16" t="s">
        <v>289</v>
      </c>
      <c r="E177" s="17" t="str">
        <f>VLOOKUP(Tabela13[[#This Row],[Código]],'COTAÇÃO ATUAL'!C:F,4,0)</f>
        <v>BANCO DO BRASIL SA</v>
      </c>
      <c r="F177" s="12" t="s">
        <v>2344</v>
      </c>
      <c r="G177" s="12">
        <v>10</v>
      </c>
      <c r="H177" s="11">
        <v>29.55</v>
      </c>
      <c r="I177" s="32">
        <f>Tabela13[[#This Row],[Quantidade]]*Tabela13[[#This Row],[Cotação na Compra ou Venda]]</f>
        <v>295.5</v>
      </c>
      <c r="J177" s="80">
        <f>SUMIFS(G:G,D:D,D177,B:B,"Compra")-(SUMIFS(G:G,D:D,D177,B:B,"Venda"))</f>
        <v>110</v>
      </c>
      <c r="K177" s="81">
        <f>SUMIFS(G:G,D:D,D177,B:B,"Compra")-(SUMIFS(G:G,D:D,D177,B:B,"Venda"))</f>
        <v>110</v>
      </c>
      <c r="L177" s="32">
        <f t="shared" si="32"/>
        <v>3378.1</v>
      </c>
      <c r="M177" s="32">
        <f>IF(K177&lt;=0,0,IFERROR(ROUND(SUMIFS(I:I,D:D,D177,B:B,"Compra")/SUMIFS(G:G,D:D,D177,B:B,"Compra"),2),""))</f>
        <v>30.71</v>
      </c>
    </row>
    <row r="178" spans="2:13" ht="15.75" x14ac:dyDescent="0.25">
      <c r="B178" s="29" t="s">
        <v>1665</v>
      </c>
      <c r="C178" s="86" t="s">
        <v>2325</v>
      </c>
      <c r="D178" s="16" t="s">
        <v>287</v>
      </c>
      <c r="E178" s="17" t="str">
        <f>VLOOKUP(Tabela13[[#This Row],[Código]],'COTAÇÃO ATUAL'!C:F,4,0)</f>
        <v>COMPANHIA DE SANEAMENTO PARANA SANEPAR</v>
      </c>
      <c r="F178" s="12" t="s">
        <v>2344</v>
      </c>
      <c r="G178" s="12">
        <v>300</v>
      </c>
      <c r="H178" s="11">
        <v>3.69</v>
      </c>
      <c r="I178" s="32">
        <f>Tabela13[[#This Row],[Quantidade]]*Tabela13[[#This Row],[Cotação na Compra ou Venda]]</f>
        <v>1107</v>
      </c>
      <c r="J178" s="80">
        <f>SUMIFS(G:G,D:D,D178,B:B,"Compra")-(SUMIFS(G:G,D:D,D178,B:B,"Venda"))</f>
        <v>800</v>
      </c>
      <c r="K178" s="81">
        <f>SUMIFS(G:G,D:D,D178,B:B,"Compra")-(SUMIFS(G:G,D:D,D178,B:B,"Venda"))</f>
        <v>800</v>
      </c>
      <c r="L178" s="32">
        <f t="shared" si="32"/>
        <v>3288</v>
      </c>
      <c r="M178" s="32">
        <f>IF(K178&lt;=0,0,IFERROR(ROUND(SUMIFS(I:I,D:D,D178,B:B,"Compra")/SUMIFS(G:G,D:D,D178,B:B,"Compra"),2),""))</f>
        <v>4.1100000000000003</v>
      </c>
    </row>
    <row r="179" spans="2:13" ht="15.75" x14ac:dyDescent="0.25">
      <c r="B179" s="29" t="s">
        <v>1665</v>
      </c>
      <c r="C179" s="86" t="s">
        <v>2325</v>
      </c>
      <c r="D179" s="16" t="s">
        <v>277</v>
      </c>
      <c r="E179" s="17" t="str">
        <f>VLOOKUP(Tabela13[[#This Row],[Código]],'COTAÇÃO ATUAL'!C:F,4,0)</f>
        <v>TRANSMISSORA ALIANCA ENERGIA ELETRICA SA PREFERENCE SHARES</v>
      </c>
      <c r="F179" s="12" t="s">
        <v>2344</v>
      </c>
      <c r="G179" s="12">
        <v>30</v>
      </c>
      <c r="H179" s="11">
        <v>11.82</v>
      </c>
      <c r="I179" s="32">
        <f>Tabela13[[#This Row],[Quantidade]]*Tabela13[[#This Row],[Cotação na Compra ou Venda]]</f>
        <v>354.6</v>
      </c>
      <c r="J179" s="80">
        <f>SUMIFS(G:G,D:D,D179,B:B,"Compra")-(SUMIFS(G:G,D:D,D179,B:B,"Venda"))</f>
        <v>266</v>
      </c>
      <c r="K179" s="81">
        <f>SUMIFS(G:G,D:D,D179,B:B,"Compra")-(SUMIFS(G:G,D:D,D179,B:B,"Venda"))</f>
        <v>266</v>
      </c>
      <c r="L179" s="32">
        <f t="shared" si="32"/>
        <v>3090.92</v>
      </c>
      <c r="M179" s="32">
        <f>IF(K179&lt;=0,0,IFERROR(ROUND(SUMIFS(I:I,D:D,D179,B:B,"Compra")/SUMIFS(G:G,D:D,D179,B:B,"Compra"),2),""))</f>
        <v>11.62</v>
      </c>
    </row>
    <row r="180" spans="2:13" ht="15.75" x14ac:dyDescent="0.25">
      <c r="B180" s="29" t="s">
        <v>1665</v>
      </c>
      <c r="C180" s="86" t="s">
        <v>2326</v>
      </c>
      <c r="D180" s="16" t="s">
        <v>262</v>
      </c>
      <c r="E180" s="17" t="str">
        <f>VLOOKUP(Tabela13[[#This Row],[Código]],'COTAÇÃO ATUAL'!C:F,4,0)</f>
        <v>CTEEP CIA TRANSM ENERGIA ELETR PAULISTA PREFERENCE SHARES</v>
      </c>
      <c r="F180" s="12" t="s">
        <v>2344</v>
      </c>
      <c r="G180" s="12">
        <v>11</v>
      </c>
      <c r="H180" s="11">
        <v>24.45</v>
      </c>
      <c r="I180" s="32">
        <f>Tabela13[[#This Row],[Quantidade]]*Tabela13[[#This Row],[Cotação na Compra ou Venda]]</f>
        <v>268.95</v>
      </c>
      <c r="J180" s="80">
        <f>SUMIFS(G:G,D:D,D180,B:B,"Compra")-(SUMIFS(G:G,D:D,D180,B:B,"Venda"))</f>
        <v>155</v>
      </c>
      <c r="K180" s="81">
        <f>SUMIFS(G:G,D:D,D180,B:B,"Compra")-(SUMIFS(G:G,D:D,D180,B:B,"Venda"))</f>
        <v>155</v>
      </c>
      <c r="L180" s="32">
        <f t="shared" si="32"/>
        <v>3506.1</v>
      </c>
      <c r="M180" s="32">
        <f>IF(K180&lt;=0,0,IFERROR(ROUND(SUMIFS(I:I,D:D,D180,B:B,"Compra")/SUMIFS(G:G,D:D,D180,B:B,"Compra"),2),""))</f>
        <v>22.62</v>
      </c>
    </row>
    <row r="181" spans="2:13" ht="15.75" x14ac:dyDescent="0.25">
      <c r="B181" s="29" t="s">
        <v>1665</v>
      </c>
      <c r="C181" s="86" t="s">
        <v>2327</v>
      </c>
      <c r="D181" s="16" t="s">
        <v>289</v>
      </c>
      <c r="E181" s="17" t="str">
        <f>VLOOKUP(Tabela13[[#This Row],[Código]],'COTAÇÃO ATUAL'!C:F,4,0)</f>
        <v>BANCO DO BRASIL SA</v>
      </c>
      <c r="F181" s="12" t="s">
        <v>2344</v>
      </c>
      <c r="G181" s="12">
        <v>30</v>
      </c>
      <c r="H181" s="11">
        <v>29.69</v>
      </c>
      <c r="I181" s="32">
        <f>Tabela13[[#This Row],[Quantidade]]*Tabela13[[#This Row],[Cotação na Compra ou Venda]]</f>
        <v>890.7</v>
      </c>
      <c r="J181" s="80">
        <f>SUMIFS(G:G,D:D,D181,B:B,"Compra")-(SUMIFS(G:G,D:D,D181,B:B,"Venda"))</f>
        <v>110</v>
      </c>
      <c r="K181" s="81">
        <f>SUMIFS(G:G,D:D,D181,B:B,"Compra")-(SUMIFS(G:G,D:D,D181,B:B,"Venda"))</f>
        <v>110</v>
      </c>
      <c r="L181" s="32">
        <f t="shared" si="32"/>
        <v>3378.1</v>
      </c>
      <c r="M181" s="32">
        <f>IF(K181&lt;=0,0,IFERROR(ROUND(SUMIFS(I:I,D:D,D181,B:B,"Compra")/SUMIFS(G:G,D:D,D181,B:B,"Compra"),2),""))</f>
        <v>30.71</v>
      </c>
    </row>
    <row r="182" spans="2:13" ht="15.75" x14ac:dyDescent="0.25">
      <c r="B182" s="29" t="s">
        <v>1665</v>
      </c>
      <c r="C182" s="86" t="s">
        <v>2328</v>
      </c>
      <c r="D182" s="16" t="s">
        <v>1263</v>
      </c>
      <c r="E182" s="17" t="str">
        <f>VLOOKUP(Tabela13[[#This Row],[Código]],'COTAÇÃO ATUAL'!C:F,4,0)</f>
        <v>B3 SA BRASIL BOLSA BALCAO</v>
      </c>
      <c r="F182" s="12" t="s">
        <v>2344</v>
      </c>
      <c r="G182" s="12">
        <v>40</v>
      </c>
      <c r="H182" s="11">
        <v>13.7</v>
      </c>
      <c r="I182" s="32">
        <f>Tabela13[[#This Row],[Quantidade]]*Tabela13[[#This Row],[Cotação na Compra ou Venda]]</f>
        <v>548</v>
      </c>
      <c r="J182" s="80">
        <f>SUMIFS(G:G,D:D,D182,B:B,"Compra")-(SUMIFS(G:G,D:D,D182,B:B,"Venda"))</f>
        <v>285</v>
      </c>
      <c r="K182" s="81">
        <f>SUMIFS(G:G,D:D,D182,B:B,"Compra")-(SUMIFS(G:G,D:D,D182,B:B,"Venda"))</f>
        <v>285</v>
      </c>
      <c r="L182" s="32">
        <f t="shared" si="32"/>
        <v>3642.3</v>
      </c>
      <c r="M182" s="32">
        <f>IF(K182&lt;=0,0,IFERROR(ROUND(SUMIFS(I:I,D:D,D182,B:B,"Compra")/SUMIFS(G:G,D:D,D182,B:B,"Compra"),2),""))</f>
        <v>12.78</v>
      </c>
    </row>
    <row r="183" spans="2:13" ht="15.75" x14ac:dyDescent="0.25">
      <c r="B183" s="29" t="s">
        <v>1665</v>
      </c>
      <c r="C183" s="86" t="s">
        <v>2329</v>
      </c>
      <c r="D183" s="16" t="s">
        <v>1263</v>
      </c>
      <c r="E183" s="17" t="str">
        <f>VLOOKUP(Tabela13[[#This Row],[Código]],'COTAÇÃO ATUAL'!C:F,4,0)</f>
        <v>B3 SA BRASIL BOLSA BALCAO</v>
      </c>
      <c r="F183" s="12" t="s">
        <v>2344</v>
      </c>
      <c r="G183" s="12">
        <v>30</v>
      </c>
      <c r="H183" s="11">
        <v>13.93</v>
      </c>
      <c r="I183" s="32">
        <f>Tabela13[[#This Row],[Quantidade]]*Tabela13[[#This Row],[Cotação na Compra ou Venda]]</f>
        <v>417.9</v>
      </c>
      <c r="J183" s="80">
        <f>SUMIFS(G:G,D:D,D183,B:B,"Compra")-(SUMIFS(G:G,D:D,D183,B:B,"Venda"))</f>
        <v>285</v>
      </c>
      <c r="K183" s="81">
        <f>SUMIFS(G:G,D:D,D183,B:B,"Compra")-(SUMIFS(G:G,D:D,D183,B:B,"Venda"))</f>
        <v>285</v>
      </c>
      <c r="L183" s="32">
        <f t="shared" si="32"/>
        <v>3642.3</v>
      </c>
      <c r="M183" s="32">
        <f>IF(K183&lt;=0,0,IFERROR(ROUND(SUMIFS(I:I,D:D,D183,B:B,"Compra")/SUMIFS(G:G,D:D,D183,B:B,"Compra"),2),""))</f>
        <v>12.78</v>
      </c>
    </row>
    <row r="184" spans="2:13" ht="15.75" x14ac:dyDescent="0.25">
      <c r="B184" s="29" t="s">
        <v>1665</v>
      </c>
      <c r="C184" s="86" t="s">
        <v>2330</v>
      </c>
      <c r="D184" s="16" t="s">
        <v>264</v>
      </c>
      <c r="E184" s="17" t="str">
        <f>VLOOKUP(Tabela13[[#This Row],[Código]],'COTAÇÃO ATUAL'!C:F,4,0)</f>
        <v>BANCO SANTANDER BRASIL SA PREFERENCE SHARES</v>
      </c>
      <c r="F184" s="12" t="s">
        <v>2344</v>
      </c>
      <c r="G184" s="12">
        <v>60</v>
      </c>
      <c r="H184" s="11">
        <v>19.149999999999999</v>
      </c>
      <c r="I184" s="32">
        <f>Tabela13[[#This Row],[Quantidade]]*Tabela13[[#This Row],[Cotação na Compra ou Venda]]</f>
        <v>1149</v>
      </c>
      <c r="J184" s="80">
        <f>SUMIFS(G:G,D:D,D184,B:B,"Compra")-(SUMIFS(G:G,D:D,D184,B:B,"Venda"))</f>
        <v>245</v>
      </c>
      <c r="K184" s="81">
        <f>SUMIFS(G:G,D:D,D184,B:B,"Compra")-(SUMIFS(G:G,D:D,D184,B:B,"Venda"))</f>
        <v>245</v>
      </c>
      <c r="L184" s="32">
        <f t="shared" si="32"/>
        <v>4412.45</v>
      </c>
      <c r="M184" s="32">
        <f>IF(K184&lt;=0,0,IFERROR(ROUND(SUMIFS(I:I,D:D,D184,B:B,"Compra")/SUMIFS(G:G,D:D,D184,B:B,"Compra"),2),""))</f>
        <v>18.010000000000002</v>
      </c>
    </row>
    <row r="185" spans="2:13" ht="15.75" x14ac:dyDescent="0.25">
      <c r="B185" s="29" t="s">
        <v>1665</v>
      </c>
      <c r="C185" s="86" t="s">
        <v>2331</v>
      </c>
      <c r="D185" s="16" t="s">
        <v>262</v>
      </c>
      <c r="E185" s="17" t="str">
        <f>VLOOKUP(Tabela13[[#This Row],[Código]],'COTAÇÃO ATUAL'!C:F,4,0)</f>
        <v>CTEEP CIA TRANSM ENERGIA ELETR PAULISTA PREFERENCE SHARES</v>
      </c>
      <c r="F185" s="12" t="s">
        <v>2344</v>
      </c>
      <c r="G185" s="12">
        <v>39</v>
      </c>
      <c r="H185" s="11">
        <v>23.84</v>
      </c>
      <c r="I185" s="32">
        <f>Tabela13[[#This Row],[Quantidade]]*Tabela13[[#This Row],[Cotação na Compra ou Venda]]</f>
        <v>929.76</v>
      </c>
      <c r="J185" s="80">
        <f>SUMIFS(G:G,D:D,D185,B:B,"Compra")-(SUMIFS(G:G,D:D,D185,B:B,"Venda"))</f>
        <v>155</v>
      </c>
      <c r="K185" s="81">
        <f>SUMIFS(G:G,D:D,D185,B:B,"Compra")-(SUMIFS(G:G,D:D,D185,B:B,"Venda"))</f>
        <v>155</v>
      </c>
      <c r="L185" s="32">
        <f t="shared" si="32"/>
        <v>3506.1</v>
      </c>
      <c r="M185" s="32">
        <f>IF(K185&lt;=0,0,IFERROR(ROUND(SUMIFS(I:I,D:D,D185,B:B,"Compra")/SUMIFS(G:G,D:D,D185,B:B,"Compra"),2),""))</f>
        <v>22.62</v>
      </c>
    </row>
    <row r="186" spans="2:13" ht="15.75" x14ac:dyDescent="0.25">
      <c r="B186" s="29" t="s">
        <v>1665</v>
      </c>
      <c r="C186" s="86" t="s">
        <v>2332</v>
      </c>
      <c r="D186" s="16" t="s">
        <v>287</v>
      </c>
      <c r="E186" s="17" t="str">
        <f>VLOOKUP(Tabela13[[#This Row],[Código]],'COTAÇÃO ATUAL'!C:F,4,0)</f>
        <v>COMPANHIA DE SANEAMENTO PARANA SANEPAR</v>
      </c>
      <c r="F186" s="12" t="s">
        <v>2344</v>
      </c>
      <c r="G186" s="12">
        <v>100</v>
      </c>
      <c r="H186" s="11">
        <v>4.1100000000000003</v>
      </c>
      <c r="I186" s="32">
        <f>Tabela13[[#This Row],[Quantidade]]*Tabela13[[#This Row],[Cotação na Compra ou Venda]]</f>
        <v>411.00000000000006</v>
      </c>
      <c r="J186" s="80">
        <f>SUMIFS(G:G,D:D,D186,B:B,"Compra")-(SUMIFS(G:G,D:D,D186,B:B,"Venda"))</f>
        <v>800</v>
      </c>
      <c r="K186" s="81">
        <f>SUMIFS(G:G,D:D,D186,B:B,"Compra")-(SUMIFS(G:G,D:D,D186,B:B,"Venda"))</f>
        <v>800</v>
      </c>
      <c r="L186" s="32">
        <f t="shared" si="32"/>
        <v>3288</v>
      </c>
      <c r="M186" s="32">
        <f>IF(K186&lt;=0,0,IFERROR(ROUND(SUMIFS(I:I,D:D,D186,B:B,"Compra")/SUMIFS(G:G,D:D,D186,B:B,"Compra"),2),""))</f>
        <v>4.1100000000000003</v>
      </c>
    </row>
    <row r="187" spans="2:13" ht="15.75" x14ac:dyDescent="0.25">
      <c r="B187" s="29" t="s">
        <v>1665</v>
      </c>
      <c r="C187" s="86" t="s">
        <v>2333</v>
      </c>
      <c r="D187" s="16" t="s">
        <v>289</v>
      </c>
      <c r="E187" s="17" t="str">
        <f>VLOOKUP(Tabela13[[#This Row],[Código]],'COTAÇÃO ATUAL'!C:F,4,0)</f>
        <v>BANCO DO BRASIL SA</v>
      </c>
      <c r="F187" s="12" t="s">
        <v>2344</v>
      </c>
      <c r="G187" s="12">
        <v>30</v>
      </c>
      <c r="H187" s="11">
        <v>30.37</v>
      </c>
      <c r="I187" s="32">
        <f>Tabela13[[#This Row],[Quantidade]]*Tabela13[[#This Row],[Cotação na Compra ou Venda]]</f>
        <v>911.1</v>
      </c>
      <c r="J187" s="80">
        <f>SUMIFS(G:G,D:D,D187,B:B,"Compra")-(SUMIFS(G:G,D:D,D187,B:B,"Venda"))</f>
        <v>110</v>
      </c>
      <c r="K187" s="81">
        <f>SUMIFS(G:G,D:D,D187,B:B,"Compra")-(SUMIFS(G:G,D:D,D187,B:B,"Venda"))</f>
        <v>110</v>
      </c>
      <c r="L187" s="32">
        <f t="shared" si="32"/>
        <v>3378.1</v>
      </c>
      <c r="M187" s="32">
        <f>IF(K187&lt;=0,0,IFERROR(ROUND(SUMIFS(I:I,D:D,D187,B:B,"Compra")/SUMIFS(G:G,D:D,D187,B:B,"Compra"),2),""))</f>
        <v>30.71</v>
      </c>
    </row>
    <row r="188" spans="2:13" ht="15.75" x14ac:dyDescent="0.25">
      <c r="B188" s="29" t="s">
        <v>1665</v>
      </c>
      <c r="C188" s="86" t="s">
        <v>2333</v>
      </c>
      <c r="D188" s="16" t="s">
        <v>277</v>
      </c>
      <c r="E188" s="17" t="str">
        <f>VLOOKUP(Tabela13[[#This Row],[Código]],'COTAÇÃO ATUAL'!C:F,4,0)</f>
        <v>TRANSMISSORA ALIANCA ENERGIA ELETRICA SA PREFERENCE SHARES</v>
      </c>
      <c r="F188" s="12" t="s">
        <v>2344</v>
      </c>
      <c r="G188" s="12">
        <v>40</v>
      </c>
      <c r="H188" s="11">
        <v>13.12</v>
      </c>
      <c r="I188" s="32">
        <f>Tabela13[[#This Row],[Quantidade]]*Tabela13[[#This Row],[Cotação na Compra ou Venda]]</f>
        <v>524.79999999999995</v>
      </c>
      <c r="J188" s="80">
        <f>SUMIFS(G:G,D:D,D188,B:B,"Compra")-(SUMIFS(G:G,D:D,D188,B:B,"Venda"))</f>
        <v>266</v>
      </c>
      <c r="K188" s="81">
        <f>SUMIFS(G:G,D:D,D188,B:B,"Compra")-(SUMIFS(G:G,D:D,D188,B:B,"Venda"))</f>
        <v>266</v>
      </c>
      <c r="L188" s="32">
        <f t="shared" si="32"/>
        <v>3090.92</v>
      </c>
      <c r="M188" s="32">
        <f>IF(K188&lt;=0,0,IFERROR(ROUND(SUMIFS(I:I,D:D,D188,B:B,"Compra")/SUMIFS(G:G,D:D,D188,B:B,"Compra"),2),""))</f>
        <v>11.62</v>
      </c>
    </row>
    <row r="189" spans="2:13" ht="15.75" x14ac:dyDescent="0.25">
      <c r="B189" s="29" t="s">
        <v>1665</v>
      </c>
      <c r="C189" s="86" t="s">
        <v>2334</v>
      </c>
      <c r="D189" s="16" t="s">
        <v>287</v>
      </c>
      <c r="E189" s="17" t="str">
        <f>VLOOKUP(Tabela13[[#This Row],[Código]],'COTAÇÃO ATUAL'!C:F,4,0)</f>
        <v>COMPANHIA DE SANEAMENTO PARANA SANEPAR</v>
      </c>
      <c r="F189" s="12" t="s">
        <v>2344</v>
      </c>
      <c r="G189" s="12">
        <v>100</v>
      </c>
      <c r="H189" s="11">
        <v>4.74</v>
      </c>
      <c r="I189" s="32">
        <f>Tabela13[[#This Row],[Quantidade]]*Tabela13[[#This Row],[Cotação na Compra ou Venda]]</f>
        <v>474</v>
      </c>
      <c r="J189" s="80">
        <f>SUMIFS(G:G,D:D,D189,B:B,"Compra")-(SUMIFS(G:G,D:D,D189,B:B,"Venda"))</f>
        <v>800</v>
      </c>
      <c r="K189" s="81">
        <f>SUMIFS(G:G,D:D,D189,B:B,"Compra")-(SUMIFS(G:G,D:D,D189,B:B,"Venda"))</f>
        <v>800</v>
      </c>
      <c r="L189" s="32">
        <f t="shared" si="32"/>
        <v>3288</v>
      </c>
      <c r="M189" s="32">
        <f>IF(K189&lt;=0,0,IFERROR(ROUND(SUMIFS(I:I,D:D,D189,B:B,"Compra")/SUMIFS(G:G,D:D,D189,B:B,"Compra"),2),""))</f>
        <v>4.1100000000000003</v>
      </c>
    </row>
    <row r="190" spans="2:13" ht="15.75" x14ac:dyDescent="0.25">
      <c r="B190" s="29" t="s">
        <v>1665</v>
      </c>
      <c r="C190" s="86" t="s">
        <v>2335</v>
      </c>
      <c r="D190" s="16" t="s">
        <v>264</v>
      </c>
      <c r="E190" s="17" t="str">
        <f>VLOOKUP(Tabela13[[#This Row],[Código]],'COTAÇÃO ATUAL'!C:F,4,0)</f>
        <v>BANCO SANTANDER BRASIL SA PREFERENCE SHARES</v>
      </c>
      <c r="F190" s="12" t="s">
        <v>2344</v>
      </c>
      <c r="G190" s="12">
        <v>20</v>
      </c>
      <c r="H190" s="11">
        <v>14.42</v>
      </c>
      <c r="I190" s="32">
        <f>Tabela13[[#This Row],[Quantidade]]*Tabela13[[#This Row],[Cotação na Compra ou Venda]]</f>
        <v>288.39999999999998</v>
      </c>
      <c r="J190" s="80">
        <f>SUMIFS(G:G,D:D,D190,B:B,"Compra")-(SUMIFS(G:G,D:D,D190,B:B,"Venda"))</f>
        <v>245</v>
      </c>
      <c r="K190" s="81">
        <f>SUMIFS(G:G,D:D,D190,B:B,"Compra")-(SUMIFS(G:G,D:D,D190,B:B,"Venda"))</f>
        <v>245</v>
      </c>
      <c r="L190" s="32">
        <f t="shared" si="32"/>
        <v>4412.45</v>
      </c>
      <c r="M190" s="32">
        <f>IF(K190&lt;=0,0,IFERROR(ROUND(SUMIFS(I:I,D:D,D190,B:B,"Compra")/SUMIFS(G:G,D:D,D190,B:B,"Compra"),2),""))</f>
        <v>18.010000000000002</v>
      </c>
    </row>
    <row r="191" spans="2:13" ht="15.75" x14ac:dyDescent="0.25">
      <c r="B191" s="29" t="s">
        <v>1665</v>
      </c>
      <c r="C191" s="86" t="s">
        <v>2336</v>
      </c>
      <c r="D191" s="16" t="s">
        <v>1263</v>
      </c>
      <c r="E191" s="17" t="str">
        <f>VLOOKUP(Tabela13[[#This Row],[Código]],'COTAÇÃO ATUAL'!C:F,4,0)</f>
        <v>B3 SA BRASIL BOLSA BALCAO</v>
      </c>
      <c r="F191" s="12" t="s">
        <v>2344</v>
      </c>
      <c r="G191" s="12">
        <v>37</v>
      </c>
      <c r="H191" s="11">
        <v>11.37</v>
      </c>
      <c r="I191" s="32">
        <f>Tabela13[[#This Row],[Quantidade]]*Tabela13[[#This Row],[Cotação na Compra ou Venda]]</f>
        <v>420.69</v>
      </c>
      <c r="J191" s="80">
        <f>SUMIFS(G:G,D:D,D191,B:B,"Compra")-(SUMIFS(G:G,D:D,D191,B:B,"Venda"))</f>
        <v>285</v>
      </c>
      <c r="K191" s="81">
        <f>SUMIFS(G:G,D:D,D191,B:B,"Compra")-(SUMIFS(G:G,D:D,D191,B:B,"Venda"))</f>
        <v>285</v>
      </c>
      <c r="L191" s="32">
        <f t="shared" si="32"/>
        <v>3642.3</v>
      </c>
      <c r="M191" s="32">
        <f>IF(K191&lt;=0,0,IFERROR(ROUND(SUMIFS(I:I,D:D,D191,B:B,"Compra")/SUMIFS(G:G,D:D,D191,B:B,"Compra"),2),""))</f>
        <v>12.78</v>
      </c>
    </row>
    <row r="192" spans="2:13" ht="15.75" x14ac:dyDescent="0.25">
      <c r="B192" s="29" t="s">
        <v>1665</v>
      </c>
      <c r="C192" s="86" t="s">
        <v>2336</v>
      </c>
      <c r="D192" s="16" t="s">
        <v>264</v>
      </c>
      <c r="E192" s="17" t="str">
        <f>VLOOKUP(Tabela13[[#This Row],[Código]],'COTAÇÃO ATUAL'!C:F,4,0)</f>
        <v>BANCO SANTANDER BRASIL SA PREFERENCE SHARES</v>
      </c>
      <c r="F192" s="12" t="s">
        <v>2344</v>
      </c>
      <c r="G192" s="12">
        <v>10</v>
      </c>
      <c r="H192" s="11">
        <v>14.94</v>
      </c>
      <c r="I192" s="32">
        <f>Tabela13[[#This Row],[Quantidade]]*Tabela13[[#This Row],[Cotação na Compra ou Venda]]</f>
        <v>149.4</v>
      </c>
      <c r="J192" s="80">
        <f>SUMIFS(G:G,D:D,D192,B:B,"Compra")-(SUMIFS(G:G,D:D,D192,B:B,"Venda"))</f>
        <v>245</v>
      </c>
      <c r="K192" s="81">
        <f>SUMIFS(G:G,D:D,D192,B:B,"Compra")-(SUMIFS(G:G,D:D,D192,B:B,"Venda"))</f>
        <v>245</v>
      </c>
      <c r="L192" s="32">
        <f t="shared" si="32"/>
        <v>4412.45</v>
      </c>
      <c r="M192" s="32">
        <f>IF(K192&lt;=0,0,IFERROR(ROUND(SUMIFS(I:I,D:D,D192,B:B,"Compra")/SUMIFS(G:G,D:D,D192,B:B,"Compra"),2),""))</f>
        <v>18.010000000000002</v>
      </c>
    </row>
    <row r="193" spans="2:13" ht="15.75" x14ac:dyDescent="0.25">
      <c r="B193" s="29" t="s">
        <v>1665</v>
      </c>
      <c r="C193" s="86" t="s">
        <v>2337</v>
      </c>
      <c r="D193" s="16" t="s">
        <v>1263</v>
      </c>
      <c r="E193" s="17" t="str">
        <f>VLOOKUP(Tabela13[[#This Row],[Código]],'COTAÇÃO ATUAL'!C:F,4,0)</f>
        <v>B3 SA BRASIL BOLSA BALCAO</v>
      </c>
      <c r="F193" s="12" t="s">
        <v>2344</v>
      </c>
      <c r="G193" s="12">
        <v>15</v>
      </c>
      <c r="H193" s="11">
        <v>11.43</v>
      </c>
      <c r="I193" s="32">
        <f>Tabela13[[#This Row],[Quantidade]]*Tabela13[[#This Row],[Cotação na Compra ou Venda]]</f>
        <v>171.45</v>
      </c>
      <c r="J193" s="80">
        <f>SUMIFS(G:G,D:D,D193,B:B,"Compra")-(SUMIFS(G:G,D:D,D193,B:B,"Venda"))</f>
        <v>285</v>
      </c>
      <c r="K193" s="81">
        <f>SUMIFS(G:G,D:D,D193,B:B,"Compra")-(SUMIFS(G:G,D:D,D193,B:B,"Venda"))</f>
        <v>285</v>
      </c>
      <c r="L193" s="32">
        <f t="shared" si="32"/>
        <v>3642.3</v>
      </c>
      <c r="M193" s="32">
        <f>IF(K193&lt;=0,0,IFERROR(ROUND(SUMIFS(I:I,D:D,D193,B:B,"Compra")/SUMIFS(G:G,D:D,D193,B:B,"Compra"),2),""))</f>
        <v>12.78</v>
      </c>
    </row>
    <row r="194" spans="2:13" ht="15.75" x14ac:dyDescent="0.25">
      <c r="B194" s="29" t="s">
        <v>1665</v>
      </c>
      <c r="C194" s="86" t="s">
        <v>2338</v>
      </c>
      <c r="D194" s="16" t="s">
        <v>1263</v>
      </c>
      <c r="E194" s="17" t="str">
        <f>VLOOKUP(Tabela13[[#This Row],[Código]],'COTAÇÃO ATUAL'!C:F,4,0)</f>
        <v>B3 SA BRASIL BOLSA BALCAO</v>
      </c>
      <c r="F194" s="12" t="s">
        <v>2344</v>
      </c>
      <c r="G194" s="12">
        <v>50</v>
      </c>
      <c r="H194" s="11">
        <v>11.55</v>
      </c>
      <c r="I194" s="32">
        <f>Tabela13[[#This Row],[Quantidade]]*Tabela13[[#This Row],[Cotação na Compra ou Venda]]</f>
        <v>577.5</v>
      </c>
      <c r="J194" s="80">
        <f>SUMIFS(G:G,D:D,D194,B:B,"Compra")-(SUMIFS(G:G,D:D,D194,B:B,"Venda"))</f>
        <v>285</v>
      </c>
      <c r="K194" s="81">
        <f>SUMIFS(G:G,D:D,D194,B:B,"Compra")-(SUMIFS(G:G,D:D,D194,B:B,"Venda"))</f>
        <v>285</v>
      </c>
      <c r="L194" s="32">
        <f t="shared" si="32"/>
        <v>3642.3</v>
      </c>
      <c r="M194" s="32">
        <f>IF(K194&lt;=0,0,IFERROR(ROUND(SUMIFS(I:I,D:D,D194,B:B,"Compra")/SUMIFS(G:G,D:D,D194,B:B,"Compra"),2),""))</f>
        <v>12.78</v>
      </c>
    </row>
    <row r="195" spans="2:13" ht="15.75" x14ac:dyDescent="0.25">
      <c r="B195" s="29" t="s">
        <v>1665</v>
      </c>
      <c r="C195" s="86" t="s">
        <v>2339</v>
      </c>
      <c r="D195" s="16" t="s">
        <v>1263</v>
      </c>
      <c r="E195" s="17" t="str">
        <f>VLOOKUP(Tabela13[[#This Row],[Código]],'COTAÇÃO ATUAL'!C:F,4,0)</f>
        <v>B3 SA BRASIL BOLSA BALCAO</v>
      </c>
      <c r="F195" s="12" t="s">
        <v>2344</v>
      </c>
      <c r="G195" s="12">
        <v>63</v>
      </c>
      <c r="H195" s="11">
        <v>12.75</v>
      </c>
      <c r="I195" s="32">
        <f>Tabela13[[#This Row],[Quantidade]]*Tabela13[[#This Row],[Cotação na Compra ou Venda]]</f>
        <v>803.25</v>
      </c>
      <c r="J195" s="80">
        <f>SUMIFS(G:G,D:D,D195,B:B,"Compra")-(SUMIFS(G:G,D:D,D195,B:B,"Venda"))</f>
        <v>285</v>
      </c>
      <c r="K195" s="81">
        <f>SUMIFS(G:G,D:D,D195,B:B,"Compra")-(SUMIFS(G:G,D:D,D195,B:B,"Venda"))</f>
        <v>285</v>
      </c>
      <c r="L195" s="32">
        <f t="shared" si="32"/>
        <v>3642.3</v>
      </c>
      <c r="M195" s="32">
        <f>IF(K195&lt;=0,0,IFERROR(ROUND(SUMIFS(I:I,D:D,D195,B:B,"Compra")/SUMIFS(G:G,D:D,D195,B:B,"Compra"),2),""))</f>
        <v>12.78</v>
      </c>
    </row>
    <row r="196" spans="2:13" ht="15.75" x14ac:dyDescent="0.25">
      <c r="B196" s="29" t="s">
        <v>1665</v>
      </c>
      <c r="C196" s="86" t="s">
        <v>2340</v>
      </c>
      <c r="D196" s="16" t="s">
        <v>1263</v>
      </c>
      <c r="E196" s="17" t="str">
        <f>VLOOKUP(Tabela13[[#This Row],[Código]],'COTAÇÃO ATUAL'!C:F,4,0)</f>
        <v>B3 SA BRASIL BOLSA BALCAO</v>
      </c>
      <c r="F196" s="12" t="s">
        <v>2344</v>
      </c>
      <c r="G196" s="12">
        <v>30</v>
      </c>
      <c r="H196" s="11">
        <v>13.69</v>
      </c>
      <c r="I196" s="32">
        <f>Tabela13[[#This Row],[Quantidade]]*Tabela13[[#This Row],[Cotação na Compra ou Venda]]</f>
        <v>410.7</v>
      </c>
      <c r="J196" s="80">
        <f>SUMIFS(G:G,D:D,D196,B:B,"Compra")-(SUMIFS(G:G,D:D,D196,B:B,"Venda"))</f>
        <v>285</v>
      </c>
      <c r="K196" s="81">
        <f>SUMIFS(G:G,D:D,D196,B:B,"Compra")-(SUMIFS(G:G,D:D,D196,B:B,"Venda"))</f>
        <v>285</v>
      </c>
      <c r="L196" s="32">
        <f t="shared" si="32"/>
        <v>3642.3</v>
      </c>
      <c r="M196" s="32">
        <f>IF(K196&lt;=0,0,IFERROR(ROUND(SUMIFS(I:I,D:D,D196,B:B,"Compra")/SUMIFS(G:G,D:D,D196,B:B,"Compra"),2),""))</f>
        <v>12.78</v>
      </c>
    </row>
    <row r="197" spans="2:13" ht="15.75" x14ac:dyDescent="0.25">
      <c r="B197" s="29" t="s">
        <v>1665</v>
      </c>
      <c r="C197" s="86" t="s">
        <v>2341</v>
      </c>
      <c r="D197" s="16" t="s">
        <v>264</v>
      </c>
      <c r="E197" s="17" t="str">
        <f>VLOOKUP(Tabela13[[#This Row],[Código]],'COTAÇÃO ATUAL'!C:F,4,0)</f>
        <v>BANCO SANTANDER BRASIL SA PREFERENCE SHARES</v>
      </c>
      <c r="F197" s="12" t="s">
        <v>2344</v>
      </c>
      <c r="G197" s="12">
        <v>5</v>
      </c>
      <c r="H197" s="11">
        <v>17.489999999999998</v>
      </c>
      <c r="I197" s="32">
        <f>Tabela13[[#This Row],[Quantidade]]*Tabela13[[#This Row],[Cotação na Compra ou Venda]]</f>
        <v>87.449999999999989</v>
      </c>
      <c r="J197" s="80">
        <f>SUMIFS(G:G,D:D,D197,B:B,"Compra")-(SUMIFS(G:G,D:D,D197,B:B,"Venda"))</f>
        <v>245</v>
      </c>
      <c r="K197" s="81">
        <f>SUMIFS(G:G,D:D,D197,B:B,"Compra")-(SUMIFS(G:G,D:D,D197,B:B,"Venda"))</f>
        <v>245</v>
      </c>
      <c r="L197" s="32">
        <f t="shared" si="32"/>
        <v>4412.45</v>
      </c>
      <c r="M197" s="32">
        <f>IF(K197&lt;=0,0,IFERROR(ROUND(SUMIFS(I:I,D:D,D197,B:B,"Compra")/SUMIFS(G:G,D:D,D197,B:B,"Compra"),2),""))</f>
        <v>18.010000000000002</v>
      </c>
    </row>
    <row r="198" spans="2:13" ht="15.75" x14ac:dyDescent="0.25">
      <c r="B198" s="29" t="s">
        <v>1665</v>
      </c>
      <c r="C198" s="86" t="s">
        <v>2342</v>
      </c>
      <c r="D198" s="16" t="s">
        <v>1263</v>
      </c>
      <c r="E198" s="17" t="str">
        <f>VLOOKUP(Tabela13[[#This Row],[Código]],'COTAÇÃO ATUAL'!C:F,4,0)</f>
        <v>B3 SA BRASIL BOLSA BALCAO</v>
      </c>
      <c r="F198" s="12" t="s">
        <v>2344</v>
      </c>
      <c r="G198" s="12">
        <v>20</v>
      </c>
      <c r="H198" s="11">
        <v>14.59</v>
      </c>
      <c r="I198" s="32">
        <f>Tabela13[[#This Row],[Quantidade]]*Tabela13[[#This Row],[Cotação na Compra ou Venda]]</f>
        <v>291.8</v>
      </c>
      <c r="J198" s="80">
        <f>SUMIFS(G:G,D:D,D198,B:B,"Compra")-(SUMIFS(G:G,D:D,D198,B:B,"Venda"))</f>
        <v>285</v>
      </c>
      <c r="K198" s="81">
        <f>SUMIFS(G:G,D:D,D198,B:B,"Compra")-(SUMIFS(G:G,D:D,D198,B:B,"Venda"))</f>
        <v>285</v>
      </c>
      <c r="L198" s="32">
        <f t="shared" si="32"/>
        <v>3642.3</v>
      </c>
      <c r="M198" s="32">
        <f>IF(K198&lt;=0,0,IFERROR(ROUND(SUMIFS(I:I,D:D,D198,B:B,"Compra")/SUMIFS(G:G,D:D,D198,B:B,"Compra"),2),""))</f>
        <v>12.78</v>
      </c>
    </row>
    <row r="199" spans="2:13" ht="15.75" x14ac:dyDescent="0.25">
      <c r="B199" s="29" t="s">
        <v>1665</v>
      </c>
      <c r="C199" s="86" t="s">
        <v>2342</v>
      </c>
      <c r="D199" s="16" t="s">
        <v>289</v>
      </c>
      <c r="E199" s="17" t="str">
        <f>VLOOKUP(Tabela13[[#This Row],[Código]],'COTAÇÃO ATUAL'!C:F,4,0)</f>
        <v>BANCO DO BRASIL SA</v>
      </c>
      <c r="F199" s="12" t="s">
        <v>2344</v>
      </c>
      <c r="G199" s="12">
        <v>10</v>
      </c>
      <c r="H199" s="11">
        <v>35</v>
      </c>
      <c r="I199" s="32">
        <f>Tabela13[[#This Row],[Quantidade]]*Tabela13[[#This Row],[Cotação na Compra ou Venda]]</f>
        <v>350</v>
      </c>
      <c r="J199" s="80">
        <f>SUMIFS(G:G,D:D,D199,B:B,"Compra")-(SUMIFS(G:G,D:D,D199,B:B,"Venda"))</f>
        <v>110</v>
      </c>
      <c r="K199" s="81">
        <f>SUMIFS(G:G,D:D,D199,B:B,"Compra")-(SUMIFS(G:G,D:D,D199,B:B,"Venda"))</f>
        <v>110</v>
      </c>
      <c r="L199" s="32">
        <f t="shared" si="32"/>
        <v>3378.1</v>
      </c>
      <c r="M199" s="32">
        <f>IF(K199&lt;=0,0,IFERROR(ROUND(SUMIFS(I:I,D:D,D199,B:B,"Compra")/SUMIFS(G:G,D:D,D199,B:B,"Compra"),2),""))</f>
        <v>30.71</v>
      </c>
    </row>
    <row r="200" spans="2:13" ht="15.75" x14ac:dyDescent="0.25">
      <c r="B200" s="29" t="s">
        <v>1665</v>
      </c>
      <c r="C200" s="86" t="s">
        <v>2342</v>
      </c>
      <c r="D200" s="16" t="s">
        <v>266</v>
      </c>
      <c r="E200" s="17" t="str">
        <f>VLOOKUP(Tabela13[[#This Row],[Código]],'COTAÇÃO ATUAL'!C:F,4,0)</f>
        <v>ENERGY OF MINAS GERAIS CO</v>
      </c>
      <c r="F200" s="12" t="s">
        <v>2344</v>
      </c>
      <c r="G200" s="12">
        <v>50</v>
      </c>
      <c r="H200" s="11">
        <v>16.89</v>
      </c>
      <c r="I200" s="32">
        <f>Tabela13[[#This Row],[Quantidade]]*Tabela13[[#This Row],[Cotação na Compra ou Venda]]</f>
        <v>844.5</v>
      </c>
      <c r="J200" s="80">
        <f>SUMIFS(G:G,D:D,D200,B:B,"Compra")-(SUMIFS(G:G,D:D,D200,B:B,"Venda"))</f>
        <v>110</v>
      </c>
      <c r="K200" s="81">
        <f>SUMIFS(G:G,D:D,D200,B:B,"Compra")-(SUMIFS(G:G,D:D,D200,B:B,"Venda"))</f>
        <v>110</v>
      </c>
      <c r="L200" s="32">
        <f t="shared" si="32"/>
        <v>1699.5</v>
      </c>
      <c r="M200" s="32">
        <f>IF(K200&lt;=0,0,IFERROR(ROUND(SUMIFS(I:I,D:D,D200,B:B,"Compra")/SUMIFS(G:G,D:D,D200,B:B,"Compra"),2),""))</f>
        <v>15.45</v>
      </c>
    </row>
    <row r="201" spans="2:13" ht="15.75" x14ac:dyDescent="0.25">
      <c r="B201" s="29" t="s">
        <v>1665</v>
      </c>
      <c r="C201" s="86" t="s">
        <v>2342</v>
      </c>
      <c r="D201" s="16" t="s">
        <v>264</v>
      </c>
      <c r="E201" s="17" t="str">
        <f>VLOOKUP(Tabela13[[#This Row],[Código]],'COTAÇÃO ATUAL'!C:F,4,0)</f>
        <v>BANCO SANTANDER BRASIL SA PREFERENCE SHARES</v>
      </c>
      <c r="F201" s="12" t="s">
        <v>2344</v>
      </c>
      <c r="G201" s="12">
        <v>89</v>
      </c>
      <c r="H201" s="11">
        <v>16.260000000000002</v>
      </c>
      <c r="I201" s="32">
        <f>Tabela13[[#This Row],[Quantidade]]*Tabela13[[#This Row],[Cotação na Compra ou Venda]]</f>
        <v>1447.14</v>
      </c>
      <c r="J201" s="80">
        <f>SUMIFS(G:G,D:D,D201,B:B,"Compra")-(SUMIFS(G:G,D:D,D201,B:B,"Venda"))</f>
        <v>245</v>
      </c>
      <c r="K201" s="81">
        <f>SUMIFS(G:G,D:D,D201,B:B,"Compra")-(SUMIFS(G:G,D:D,D201,B:B,"Venda"))</f>
        <v>245</v>
      </c>
      <c r="L201" s="32">
        <f t="shared" si="32"/>
        <v>4412.45</v>
      </c>
      <c r="M201" s="32">
        <f>IF(K201&lt;=0,0,IFERROR(ROUND(SUMIFS(I:I,D:D,D201,B:B,"Compra")/SUMIFS(G:G,D:D,D201,B:B,"Compra"),2),""))</f>
        <v>18.010000000000002</v>
      </c>
    </row>
    <row r="202" spans="2:13" ht="15.75" x14ac:dyDescent="0.25">
      <c r="B202" s="29" t="s">
        <v>1665</v>
      </c>
      <c r="C202" s="86" t="s">
        <v>2342</v>
      </c>
      <c r="D202" s="16" t="s">
        <v>287</v>
      </c>
      <c r="E202" s="17" t="str">
        <f>VLOOKUP(Tabela13[[#This Row],[Código]],'COTAÇÃO ATUAL'!C:F,4,0)</f>
        <v>COMPANHIA DE SANEAMENTO PARANA SANEPAR</v>
      </c>
      <c r="F202" s="12" t="s">
        <v>2344</v>
      </c>
      <c r="G202" s="12">
        <v>200</v>
      </c>
      <c r="H202" s="11">
        <v>3.87</v>
      </c>
      <c r="I202" s="32">
        <f>Tabela13[[#This Row],[Quantidade]]*Tabela13[[#This Row],[Cotação na Compra ou Venda]]</f>
        <v>774</v>
      </c>
      <c r="J202" s="80">
        <f>SUMIFS(G:G,D:D,D202,B:B,"Compra")-(SUMIFS(G:G,D:D,D202,B:B,"Venda"))</f>
        <v>800</v>
      </c>
      <c r="K202" s="81">
        <f>SUMIFS(G:G,D:D,D202,B:B,"Compra")-(SUMIFS(G:G,D:D,D202,B:B,"Venda"))</f>
        <v>800</v>
      </c>
      <c r="L202" s="32">
        <f t="shared" si="32"/>
        <v>3288</v>
      </c>
      <c r="M202" s="32">
        <f>IF(K202&lt;=0,0,IFERROR(ROUND(SUMIFS(I:I,D:D,D202,B:B,"Compra")/SUMIFS(G:G,D:D,D202,B:B,"Compra"),2),""))</f>
        <v>4.1100000000000003</v>
      </c>
    </row>
    <row r="203" spans="2:13" ht="15.75" x14ac:dyDescent="0.25">
      <c r="B203" s="29" t="s">
        <v>1665</v>
      </c>
      <c r="C203" s="86" t="s">
        <v>2342</v>
      </c>
      <c r="D203" s="16" t="s">
        <v>277</v>
      </c>
      <c r="E203" s="17" t="str">
        <f>VLOOKUP(Tabela13[[#This Row],[Código]],'COTAÇÃO ATUAL'!C:F,4,0)</f>
        <v>TRANSMISSORA ALIANCA ENERGIA ELETRICA SA PREFERENCE SHARES</v>
      </c>
      <c r="F203" s="12" t="s">
        <v>2344</v>
      </c>
      <c r="G203" s="12">
        <v>61</v>
      </c>
      <c r="H203" s="11">
        <v>13.24</v>
      </c>
      <c r="I203" s="32">
        <f>Tabela13[[#This Row],[Quantidade]]*Tabela13[[#This Row],[Cotação na Compra ou Venda]]</f>
        <v>807.64</v>
      </c>
      <c r="J203" s="80">
        <f>SUMIFS(G:G,D:D,D203,B:B,"Compra")-(SUMIFS(G:G,D:D,D203,B:B,"Venda"))</f>
        <v>266</v>
      </c>
      <c r="K203" s="81">
        <f>SUMIFS(G:G,D:D,D203,B:B,"Compra")-(SUMIFS(G:G,D:D,D203,B:B,"Venda"))</f>
        <v>266</v>
      </c>
      <c r="L203" s="32">
        <f t="shared" si="32"/>
        <v>3090.92</v>
      </c>
      <c r="M203" s="32">
        <f>IF(K203&lt;=0,0,IFERROR(ROUND(SUMIFS(I:I,D:D,D203,B:B,"Compra")/SUMIFS(G:G,D:D,D203,B:B,"Compra"),2),""))</f>
        <v>11.62</v>
      </c>
    </row>
    <row r="204" spans="2:13" ht="15.75" x14ac:dyDescent="0.25">
      <c r="B204" s="29" t="s">
        <v>1665</v>
      </c>
      <c r="C204" s="86" t="s">
        <v>2342</v>
      </c>
      <c r="D204" s="16" t="s">
        <v>262</v>
      </c>
      <c r="E204" s="17" t="str">
        <f>VLOOKUP(Tabela13[[#This Row],[Código]],'COTAÇÃO ATUAL'!C:F,4,0)</f>
        <v>CTEEP CIA TRANSM ENERGIA ELETR PAULISTA PREFERENCE SHARES</v>
      </c>
      <c r="F204" s="12" t="s">
        <v>2344</v>
      </c>
      <c r="G204" s="12">
        <v>25</v>
      </c>
      <c r="H204" s="11">
        <v>24.47</v>
      </c>
      <c r="I204" s="32">
        <f>Tabela13[[#This Row],[Quantidade]]*Tabela13[[#This Row],[Cotação na Compra ou Venda]]</f>
        <v>611.75</v>
      </c>
      <c r="J204" s="80">
        <f>SUMIFS(G:G,D:D,D204,B:B,"Compra")-(SUMIFS(G:G,D:D,D204,B:B,"Venda"))</f>
        <v>155</v>
      </c>
      <c r="K204" s="81">
        <f>SUMIFS(G:G,D:D,D204,B:B,"Compra")-(SUMIFS(G:G,D:D,D204,B:B,"Venda"))</f>
        <v>155</v>
      </c>
      <c r="L204" s="32">
        <f t="shared" si="32"/>
        <v>3506.1</v>
      </c>
      <c r="M204" s="32">
        <f>IF(K204&lt;=0,0,IFERROR(ROUND(SUMIFS(I:I,D:D,D204,B:B,"Compra")/SUMIFS(G:G,D:D,D204,B:B,"Compra"),2),""))</f>
        <v>22.62</v>
      </c>
    </row>
    <row r="205" spans="2:13" ht="15.75" x14ac:dyDescent="0.25">
      <c r="B205" s="29" t="s">
        <v>1665</v>
      </c>
      <c r="C205" s="84" t="s">
        <v>2343</v>
      </c>
      <c r="D205" s="15" t="s">
        <v>289</v>
      </c>
      <c r="E205" s="18" t="str">
        <f>VLOOKUP(Tabela13[[#This Row],[Código]],'COTAÇÃO ATUAL'!C:F,4,0)</f>
        <v>BANCO DO BRASIL SA</v>
      </c>
      <c r="F205" s="12" t="s">
        <v>2344</v>
      </c>
      <c r="G205" s="13">
        <v>10</v>
      </c>
      <c r="H205" s="14">
        <v>29.09</v>
      </c>
      <c r="I205" s="33">
        <f>Tabela13[[#This Row],[Quantidade]]*Tabela13[[#This Row],[Cotação na Compra ou Venda]]</f>
        <v>290.89999999999998</v>
      </c>
      <c r="J205" s="82">
        <f>SUMIFS(G:G,D:D,D205,B:B,"Compra")-(SUMIFS(G:G,D:D,D205,B:B,"Venda"))</f>
        <v>110</v>
      </c>
      <c r="K205" s="83">
        <f>SUMIFS(G:G,D:D,D205,B:B,"Compra")-(SUMIFS(G:G,D:D,D205,B:B,"Venda"))</f>
        <v>110</v>
      </c>
      <c r="L205" s="33">
        <f t="shared" si="32"/>
        <v>3378.1</v>
      </c>
      <c r="M205" s="33">
        <f>IF(K205&lt;=0,0,IFERROR(ROUND(SUMIFS(I:I,D:D,D205,B:B,"Compra")/SUMIFS(G:G,D:D,D205,B:B,"Compra"),2),""))</f>
        <v>30.71</v>
      </c>
    </row>
    <row r="206" spans="2:13" ht="15.75" x14ac:dyDescent="0.25">
      <c r="B206" s="29" t="s">
        <v>1665</v>
      </c>
      <c r="C206" s="84">
        <v>44797</v>
      </c>
      <c r="D206" s="16" t="s">
        <v>57</v>
      </c>
      <c r="E206" s="17" t="str">
        <f>VLOOKUP(Tabela13[[#This Row],[Código]],'COTAÇÃO ATUAL'!C:F,4,0)</f>
        <v>HECTARE CE - FI IMOBILIARIO</v>
      </c>
      <c r="F206" s="13" t="s">
        <v>1662</v>
      </c>
      <c r="G206" s="12">
        <v>3</v>
      </c>
      <c r="H206" s="11">
        <v>109.42</v>
      </c>
      <c r="I206" s="32">
        <f>Tabela13[[#This Row],[Quantidade]]*Tabela13[[#This Row],[Cotação na Compra ou Venda]]</f>
        <v>328.26</v>
      </c>
      <c r="J206" s="80">
        <f>SUMIFS(G:G,D:D,D206,B:B,"Compra")-(SUMIFS(G:G,D:D,D206,B:B,"Venda"))</f>
        <v>35</v>
      </c>
      <c r="K206" s="81">
        <f>SUMIFS(G:G,D:D,D206,B:B,"Compra")-(SUMIFS(G:G,D:D,D206,B:B,"Venda"))</f>
        <v>35</v>
      </c>
      <c r="L206" s="32">
        <f t="shared" ref="L206:L210" si="33">IF(K206&lt;=0,0,ROUND(M206*K206,2))</f>
        <v>4424.7</v>
      </c>
      <c r="M206" s="32">
        <f>IF(K206&lt;=0,0,IFERROR(ROUND(SUMIFS(I:I,D:D,D206,B:B,"Compra")/SUMIFS(G:G,D:D,D206,B:B,"Compra"),2),""))</f>
        <v>126.42</v>
      </c>
    </row>
    <row r="207" spans="2:13" ht="15.75" x14ac:dyDescent="0.25">
      <c r="B207" s="29" t="s">
        <v>1665</v>
      </c>
      <c r="C207" s="84">
        <v>44797</v>
      </c>
      <c r="D207" s="16" t="s">
        <v>72</v>
      </c>
      <c r="E207" s="17" t="str">
        <f>VLOOKUP(Tabela13[[#This Row],[Código]],'COTAÇÃO ATUAL'!C:F,4,0)</f>
        <v>FI IMOBILIARIO IRIDIUM RECEBIVEIS IMOBILIARIOS</v>
      </c>
      <c r="F207" s="12" t="s">
        <v>1662</v>
      </c>
      <c r="G207" s="12">
        <v>2</v>
      </c>
      <c r="H207" s="11">
        <v>101.01</v>
      </c>
      <c r="I207" s="32">
        <f>Tabela13[[#This Row],[Quantidade]]*Tabela13[[#This Row],[Cotação na Compra ou Venda]]</f>
        <v>202.02</v>
      </c>
      <c r="J207" s="80">
        <f>SUMIFS(G:G,D:D,D207,B:B,"Compra")-(SUMIFS(G:G,D:D,D207,B:B,"Venda"))</f>
        <v>25</v>
      </c>
      <c r="K207" s="81">
        <f>SUMIFS(G:G,D:D,D207,B:B,"Compra")-(SUMIFS(G:G,D:D,D207,B:B,"Venda"))</f>
        <v>25</v>
      </c>
      <c r="L207" s="32">
        <f t="shared" si="33"/>
        <v>2709</v>
      </c>
      <c r="M207" s="32">
        <f>IF(K207&lt;=0,0,IFERROR(ROUND(SUMIFS(I:I,D:D,D207,B:B,"Compra")/SUMIFS(G:G,D:D,D207,B:B,"Compra"),2),""))</f>
        <v>108.36</v>
      </c>
    </row>
    <row r="208" spans="2:13" ht="15.75" x14ac:dyDescent="0.25">
      <c r="B208" s="29" t="s">
        <v>1665</v>
      </c>
      <c r="C208" s="84">
        <v>44797</v>
      </c>
      <c r="D208" s="16" t="s">
        <v>80</v>
      </c>
      <c r="E208" s="17" t="str">
        <f>VLOOKUP(Tabela13[[#This Row],[Código]],'COTAÇÃO ATUAL'!C:F,4,0)</f>
        <v>KINEA RENDA IMOBILIARIA FII</v>
      </c>
      <c r="F208" s="12" t="s">
        <v>1662</v>
      </c>
      <c r="G208" s="12">
        <v>5</v>
      </c>
      <c r="H208" s="11">
        <v>148.47999999999999</v>
      </c>
      <c r="I208" s="32">
        <f>Tabela13[[#This Row],[Quantidade]]*Tabela13[[#This Row],[Cotação na Compra ou Venda]]</f>
        <v>742.4</v>
      </c>
      <c r="J208" s="80">
        <f>SUMIFS(G:G,D:D,D208,B:B,"Compra")-(SUMIFS(G:G,D:D,D208,B:B,"Venda"))</f>
        <v>30</v>
      </c>
      <c r="K208" s="81">
        <f>SUMIFS(G:G,D:D,D208,B:B,"Compra")-(SUMIFS(G:G,D:D,D208,B:B,"Venda"))</f>
        <v>30</v>
      </c>
      <c r="L208" s="32">
        <f t="shared" si="33"/>
        <v>4487.1000000000004</v>
      </c>
      <c r="M208" s="32">
        <f>IF(K208&lt;=0,0,IFERROR(ROUND(SUMIFS(I:I,D:D,D208,B:B,"Compra")/SUMIFS(G:G,D:D,D208,B:B,"Compra"),2),""))</f>
        <v>149.57</v>
      </c>
    </row>
    <row r="209" spans="2:13" ht="15.75" x14ac:dyDescent="0.25">
      <c r="B209" s="29" t="s">
        <v>1665</v>
      </c>
      <c r="C209" s="84">
        <v>44797</v>
      </c>
      <c r="D209" s="16" t="s">
        <v>165</v>
      </c>
      <c r="E209" s="17" t="str">
        <f>VLOOKUP(Tabela13[[#This Row],[Código]],'COTAÇÃO ATUAL'!C:F,4,0)</f>
        <v>XP LOG FUNDO DE INVESTIMENTO IMOBILIARIO-FII</v>
      </c>
      <c r="F209" s="13" t="s">
        <v>1662</v>
      </c>
      <c r="G209" s="12">
        <v>1</v>
      </c>
      <c r="H209" s="11">
        <v>106.16</v>
      </c>
      <c r="I209" s="32">
        <f>Tabela13[[#This Row],[Quantidade]]*Tabela13[[#This Row],[Cotação na Compra ou Venda]]</f>
        <v>106.16</v>
      </c>
      <c r="J209" s="80">
        <f>SUMIFS(G:G,D:D,D209,B:B,"Compra")-(SUMIFS(G:G,D:D,D209,B:B,"Venda"))</f>
        <v>34</v>
      </c>
      <c r="K209" s="81">
        <f>SUMIFS(G:G,D:D,D209,B:B,"Compra")-(SUMIFS(G:G,D:D,D209,B:B,"Venda"))</f>
        <v>34</v>
      </c>
      <c r="L209" s="32">
        <f t="shared" si="33"/>
        <v>3825.68</v>
      </c>
      <c r="M209" s="32">
        <f>IF(K209&lt;=0,0,IFERROR(ROUND(SUMIFS(I:I,D:D,D209,B:B,"Compra")/SUMIFS(G:G,D:D,D209,B:B,"Compra"),2),""))</f>
        <v>112.52</v>
      </c>
    </row>
    <row r="210" spans="2:13" ht="15.75" x14ac:dyDescent="0.25">
      <c r="B210" s="29" t="s">
        <v>1665</v>
      </c>
      <c r="C210" s="84">
        <v>44797</v>
      </c>
      <c r="D210" s="16" t="s">
        <v>151</v>
      </c>
      <c r="E210" s="17" t="str">
        <f>VLOOKUP(Tabela13[[#This Row],[Código]],'COTAÇÃO ATUAL'!C:F,4,0)</f>
        <v>VINCI OFFICES FDO INV IMOB - FII VINC COR</v>
      </c>
      <c r="F210" s="12" t="s">
        <v>1662</v>
      </c>
      <c r="G210" s="12">
        <v>3</v>
      </c>
      <c r="H210" s="11">
        <v>49.31</v>
      </c>
      <c r="I210" s="32">
        <f>Tabela13[[#This Row],[Quantidade]]*Tabela13[[#This Row],[Cotação na Compra ou Venda]]</f>
        <v>147.93</v>
      </c>
      <c r="J210" s="80">
        <f>SUMIFS(G:G,D:D,D210,B:B,"Compra")-(SUMIFS(G:G,D:D,D210,B:B,"Venda"))</f>
        <v>60</v>
      </c>
      <c r="K210" s="81">
        <f>SUMIFS(G:G,D:D,D210,B:B,"Compra")-(SUMIFS(G:G,D:D,D210,B:B,"Venda"))</f>
        <v>60</v>
      </c>
      <c r="L210" s="32">
        <f t="shared" si="33"/>
        <v>3229.8</v>
      </c>
      <c r="M210" s="32">
        <f>IF(K210&lt;=0,0,IFERROR(ROUND(SUMIFS(I:I,D:D,D210,B:B,"Compra")/SUMIFS(G:G,D:D,D210,B:B,"Compra"),2),""))</f>
        <v>53.83</v>
      </c>
    </row>
    <row r="211" spans="2:13" ht="15.75" x14ac:dyDescent="0.25">
      <c r="B211" s="29" t="s">
        <v>1665</v>
      </c>
      <c r="C211" s="84">
        <v>44797</v>
      </c>
      <c r="D211" s="15" t="s">
        <v>124</v>
      </c>
      <c r="E211" s="18" t="str">
        <f>VLOOKUP(Tabela13[[#This Row],[Código]],'COTAÇÃO ATUAL'!C:F,4,0)</f>
        <v>FII RIO BRAVO RENDA VAREJO-FII</v>
      </c>
      <c r="F211" s="12" t="s">
        <v>1662</v>
      </c>
      <c r="G211" s="13">
        <v>2</v>
      </c>
      <c r="H211" s="14">
        <v>99.19</v>
      </c>
      <c r="I211" s="33">
        <f>Tabela13[[#This Row],[Quantidade]]*Tabela13[[#This Row],[Cotação na Compra ou Venda]]</f>
        <v>198.38</v>
      </c>
      <c r="J211" s="82">
        <f>SUMIFS(G:G,D:D,D211,B:B,"Compra")-(SUMIFS(G:G,D:D,D211,B:B,"Venda"))</f>
        <v>31</v>
      </c>
      <c r="K211" s="83">
        <f>SUMIFS(G:G,D:D,D211,B:B,"Compra")-(SUMIFS(G:G,D:D,D211,B:B,"Venda"))</f>
        <v>31</v>
      </c>
      <c r="L211" s="33">
        <f>IF(K211&lt;=0,0,ROUND(M211*K211,2))</f>
        <v>3304.6</v>
      </c>
      <c r="M211" s="33">
        <f>IF(K211&lt;=0,0,IFERROR(ROUND(SUMIFS(I:I,D:D,D211,B:B,"Compra")/SUMIFS(G:G,D:D,D211,B:B,"Compra"),2),""))</f>
        <v>106.6</v>
      </c>
    </row>
    <row r="212" spans="2:13" ht="15.75" x14ac:dyDescent="0.25">
      <c r="B212" s="29" t="s">
        <v>1665</v>
      </c>
      <c r="C212" s="84">
        <v>44799</v>
      </c>
      <c r="D212" s="16" t="s">
        <v>22</v>
      </c>
      <c r="E212" s="17" t="str">
        <f>VLOOKUP(Tabela13[[#This Row],[Código]],'COTAÇÃO ATUAL'!C:F,4,0)</f>
        <v>BTG PACTUAL LOGISTICA FI IMOBILIARIO</v>
      </c>
      <c r="F212" s="12" t="s">
        <v>1662</v>
      </c>
      <c r="G212" s="12">
        <v>5</v>
      </c>
      <c r="H212" s="11">
        <v>103.06</v>
      </c>
      <c r="I212" s="32">
        <f>Tabela13[[#This Row],[Quantidade]]*Tabela13[[#This Row],[Cotação na Compra ou Venda]]</f>
        <v>515.29999999999995</v>
      </c>
      <c r="J212" s="80">
        <f>SUMIFS(G:G,D:D,D212,B:B,"Compra")-(SUMIFS(G:G,D:D,D212,B:B,"Venda"))</f>
        <v>25</v>
      </c>
      <c r="K212" s="81">
        <f>SUMIFS(G:G,D:D,D212,B:B,"Compra")-(SUMIFS(G:G,D:D,D212,B:B,"Venda"))</f>
        <v>25</v>
      </c>
      <c r="L212" s="32">
        <f>IF(K212&lt;=0,0,ROUND(M212*K212,2))</f>
        <v>2708.5</v>
      </c>
      <c r="M212" s="32">
        <f>IF(K212&lt;=0,0,IFERROR(ROUND(SUMIFS(I:I,D:D,D212,B:B,"Compra")/SUMIFS(G:G,D:D,D212,B:B,"Compra"),2),""))</f>
        <v>108.34</v>
      </c>
    </row>
    <row r="213" spans="2:13" ht="15.75" x14ac:dyDescent="0.25">
      <c r="B213" s="29" t="s">
        <v>1665</v>
      </c>
      <c r="C213" s="84">
        <v>44799</v>
      </c>
      <c r="D213" s="16" t="s">
        <v>277</v>
      </c>
      <c r="E213" s="17" t="str">
        <f>VLOOKUP(Tabela13[[#This Row],[Código]],'COTAÇÃO ATUAL'!C:F,4,0)</f>
        <v>TRANSMISSORA ALIANCA ENERGIA ELETRICA SA PREFERENCE SHARES</v>
      </c>
      <c r="F213" s="12" t="s">
        <v>2344</v>
      </c>
      <c r="G213" s="12">
        <v>25</v>
      </c>
      <c r="H213" s="11">
        <v>13.56</v>
      </c>
      <c r="I213" s="32">
        <f>Tabela13[[#This Row],[Quantidade]]*Tabela13[[#This Row],[Cotação na Compra ou Venda]]</f>
        <v>339</v>
      </c>
      <c r="J213" s="80">
        <f>SUMIFS(G:G,D:D,D213,B:B,"Compra")-(SUMIFS(G:G,D:D,D213,B:B,"Venda"))</f>
        <v>266</v>
      </c>
      <c r="K213" s="81">
        <f>SUMIFS(G:G,D:D,D213,B:B,"Compra")-(SUMIFS(G:G,D:D,D213,B:B,"Venda"))</f>
        <v>266</v>
      </c>
      <c r="L213" s="32">
        <f>IF(K213&lt;=0,0,ROUND(M213*K213,2))</f>
        <v>3090.92</v>
      </c>
      <c r="M213" s="32">
        <f>IF(K213&lt;=0,0,IFERROR(ROUND(SUMIFS(I:I,D:D,D213,B:B,"Compra")/SUMIFS(G:G,D:D,D213,B:B,"Compra"),2),""))</f>
        <v>11.62</v>
      </c>
    </row>
    <row r="214" spans="2:13" ht="15.75" x14ac:dyDescent="0.25">
      <c r="B214" s="29" t="s">
        <v>1665</v>
      </c>
      <c r="C214" s="84">
        <v>44623</v>
      </c>
      <c r="D214" s="16" t="s">
        <v>266</v>
      </c>
      <c r="E214" s="18" t="str">
        <f>VLOOKUP(Tabela13[[#This Row],[Código]],'COTAÇÃO ATUAL'!C:F,4,0)</f>
        <v>ENERGY OF MINAS GERAIS CO</v>
      </c>
      <c r="F214" s="12" t="s">
        <v>2344</v>
      </c>
      <c r="G214" s="13">
        <v>40</v>
      </c>
      <c r="H214" s="11">
        <v>16.89</v>
      </c>
      <c r="I214" s="33">
        <f>Tabela13[[#This Row],[Quantidade]]*Tabela13[[#This Row],[Cotação na Compra ou Venda]]</f>
        <v>675.6</v>
      </c>
      <c r="J214" s="82">
        <f>SUMIFS(G:G,D:D,D214,B:B,"Compra")-(SUMIFS(G:G,D:D,D214,B:B,"Venda"))</f>
        <v>110</v>
      </c>
      <c r="K214" s="83">
        <f>SUMIFS(G:G,D:D,D214,B:B,"Compra")-(SUMIFS(G:G,D:D,D214,B:B,"Venda"))</f>
        <v>110</v>
      </c>
      <c r="L214" s="33">
        <f>IF(K214&lt;=0,0,ROUND(M214*K214,2))</f>
        <v>1699.5</v>
      </c>
      <c r="M214" s="33">
        <f>IF(K214&lt;=0,0,IFERROR(ROUND(SUMIFS(I:I,D:D,D214,B:B,"Compra")/SUMIFS(G:G,D:D,D214,B:B,"Compra"),2),""))</f>
        <v>15.45</v>
      </c>
    </row>
    <row r="215" spans="2:13" ht="15.75" x14ac:dyDescent="0.25">
      <c r="B215" s="29" t="s">
        <v>1665</v>
      </c>
      <c r="C215" s="84">
        <v>44823</v>
      </c>
      <c r="D215" s="15" t="s">
        <v>57</v>
      </c>
      <c r="E215" s="18" t="str">
        <f>VLOOKUP(Tabela13[[#This Row],[Código]],'COTAÇÃO ATUAL'!C:F,4,0)</f>
        <v>HECTARE CE - FI IMOBILIARIO</v>
      </c>
      <c r="F215" s="13" t="s">
        <v>1662</v>
      </c>
      <c r="G215" s="13">
        <v>6</v>
      </c>
      <c r="H215" s="14">
        <v>103.84</v>
      </c>
      <c r="I215" s="33">
        <f>Tabela13[[#This Row],[Quantidade]]*Tabela13[[#This Row],[Cotação na Compra ou Venda]]</f>
        <v>623.04</v>
      </c>
      <c r="J215" s="82">
        <f>SUMIFS(G:G,D:D,D215,B:B,"Compra")-(SUMIFS(G:G,D:D,D215,B:B,"Venda"))</f>
        <v>35</v>
      </c>
      <c r="K215" s="83">
        <f>SUMIFS(G:G,D:D,D215,B:B,"Compra")-(SUMIFS(G:G,D:D,D215,B:B,"Venda"))</f>
        <v>35</v>
      </c>
      <c r="L215" s="33">
        <f>IF(K215&lt;=0,0,ROUND(M215*K215,2))</f>
        <v>4424.7</v>
      </c>
      <c r="M215" s="33">
        <f>IF(K215&lt;=0,0,IFERROR(ROUND(SUMIFS(I:I,D:D,D215,B:B,"Compra")/SUMIFS(G:G,D:D,D215,B:B,"Compra"),2),""))</f>
        <v>126.42</v>
      </c>
    </row>
  </sheetData>
  <dataConsolidate/>
  <phoneticPr fontId="6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/>
  <dimension ref="A1:P32"/>
  <sheetViews>
    <sheetView showGridLines="0" zoomScale="80" zoomScaleNormal="80" zoomScaleSheetLayoutView="100" workbookViewId="0">
      <selection activeCell="D14" sqref="D14"/>
    </sheetView>
  </sheetViews>
  <sheetFormatPr defaultColWidth="9.140625" defaultRowHeight="12.75" x14ac:dyDescent="0.2"/>
  <cols>
    <col min="1" max="1" width="11" style="1" customWidth="1"/>
    <col min="2" max="2" width="15.85546875" style="1" customWidth="1"/>
    <col min="3" max="3" width="70.28515625" style="1" bestFit="1" customWidth="1"/>
    <col min="4" max="4" width="33.28515625" style="1" bestFit="1" customWidth="1"/>
    <col min="5" max="5" width="26.28515625" style="1" bestFit="1" customWidth="1"/>
    <col min="6" max="6" width="24.140625" style="1" bestFit="1" customWidth="1"/>
    <col min="7" max="7" width="21.5703125" style="1" bestFit="1" customWidth="1"/>
    <col min="8" max="8" width="22.42578125" style="1" bestFit="1" customWidth="1"/>
    <col min="9" max="9" width="26.5703125" style="1" bestFit="1" customWidth="1"/>
    <col min="10" max="10" width="28" style="1" bestFit="1" customWidth="1"/>
    <col min="11" max="11" width="25" style="1" bestFit="1" customWidth="1"/>
    <col min="12" max="12" width="21" style="1" bestFit="1" customWidth="1"/>
    <col min="13" max="13" width="20.28515625" style="100" customWidth="1"/>
    <col min="14" max="14" width="185.7109375" style="1" bestFit="1" customWidth="1"/>
    <col min="15" max="16" width="15.140625" style="1" customWidth="1"/>
    <col min="17" max="16384" width="9.140625" style="1"/>
  </cols>
  <sheetData>
    <row r="1" spans="1:16" ht="3.75" customHeight="1" x14ac:dyDescent="0.2"/>
    <row r="2" spans="1:16" s="19" customFormat="1" ht="12.75" hidden="1" customHeight="1" x14ac:dyDescent="0.2">
      <c r="A2" s="21"/>
      <c r="B2" s="21"/>
      <c r="C2" s="21"/>
      <c r="D2" s="21"/>
      <c r="E2" s="21"/>
      <c r="F2" s="21">
        <v>2</v>
      </c>
      <c r="M2" s="131"/>
    </row>
    <row r="3" spans="1:16" s="19" customFormat="1" ht="12.75" hidden="1" customHeight="1" x14ac:dyDescent="0.2">
      <c r="A3" s="21"/>
      <c r="B3" s="21"/>
      <c r="C3" s="21"/>
      <c r="D3" s="21"/>
      <c r="E3" s="21"/>
      <c r="F3" s="21"/>
      <c r="G3" s="20"/>
      <c r="H3" s="20"/>
      <c r="I3" s="20"/>
      <c r="L3" s="74">
        <f>M4/J4</f>
        <v>1.4336226407379521E-2</v>
      </c>
      <c r="M3" s="131"/>
    </row>
    <row r="4" spans="1:16" s="27" customFormat="1" ht="12.75" hidden="1" customHeight="1" x14ac:dyDescent="0.2">
      <c r="A4" s="28"/>
      <c r="B4" s="28"/>
      <c r="C4" s="28"/>
      <c r="D4" s="22"/>
      <c r="E4" s="22"/>
      <c r="F4" s="22"/>
      <c r="G4" s="23"/>
      <c r="H4" s="23"/>
      <c r="I4" s="104">
        <f>SUBTOTAL(9,CONSOLIDADO!$I$7:$I$30)</f>
        <v>80132.92</v>
      </c>
      <c r="J4" s="104">
        <f>SUBTOTAL(9,CONSOLIDADO!$J$7:$J$30)</f>
        <v>79239.820000000007</v>
      </c>
      <c r="K4" s="24">
        <f>J4-I4</f>
        <v>-893.09999999999127</v>
      </c>
      <c r="L4" s="25">
        <f>J4/I4-1</f>
        <v>-1.1145232196705046E-2</v>
      </c>
      <c r="M4" s="132">
        <v>1136</v>
      </c>
      <c r="N4" s="26"/>
    </row>
    <row r="5" spans="1:16" x14ac:dyDescent="0.2">
      <c r="A5" s="2"/>
      <c r="B5" s="2"/>
      <c r="C5" s="2"/>
      <c r="D5" s="2"/>
      <c r="E5" s="2"/>
      <c r="F5" s="2"/>
    </row>
    <row r="6" spans="1:16" s="44" customFormat="1" ht="45.75" customHeight="1" x14ac:dyDescent="0.25">
      <c r="A6" s="39" t="s">
        <v>170</v>
      </c>
      <c r="B6" s="39" t="s">
        <v>2346</v>
      </c>
      <c r="C6" s="39" t="s">
        <v>1672</v>
      </c>
      <c r="D6" s="40" t="s">
        <v>0</v>
      </c>
      <c r="E6" s="40" t="s">
        <v>2388</v>
      </c>
      <c r="F6" s="40" t="s">
        <v>1667</v>
      </c>
      <c r="G6" s="41" t="s">
        <v>1442</v>
      </c>
      <c r="H6" s="41" t="s">
        <v>2389</v>
      </c>
      <c r="I6" s="41" t="s">
        <v>1669</v>
      </c>
      <c r="J6" s="41" t="s">
        <v>1668</v>
      </c>
      <c r="K6" s="41" t="s">
        <v>1671</v>
      </c>
      <c r="L6" s="41" t="s">
        <v>1670</v>
      </c>
      <c r="M6" s="133" t="s">
        <v>1666</v>
      </c>
      <c r="N6" s="42" t="s">
        <v>1673</v>
      </c>
      <c r="O6" s="43"/>
    </row>
    <row r="7" spans="1:16" s="19" customFormat="1" x14ac:dyDescent="0.2">
      <c r="A7" s="76" t="s">
        <v>94</v>
      </c>
      <c r="B7" s="7" t="s">
        <v>1662</v>
      </c>
      <c r="C7" s="105" t="str">
        <f>VLOOKUP(CONSOLIDADO!$A7,COMPRAS!D:E,2,0)</f>
        <v>MAXI RENDA FUNDO DE INVESTIMENTO IMOBILIARIO - FII</v>
      </c>
      <c r="D7" s="3" t="s">
        <v>2541</v>
      </c>
      <c r="E7" s="106">
        <f>VLOOKUP(CONSOLIDADO!$A7,COMPRAS!D:M,8,0)</f>
        <v>233</v>
      </c>
      <c r="F7" s="107">
        <f>VALUE(VLOOKUP(CONSOLIDADO!$A7,'COTAÇÃO ATUAL'!C:D,2,0))</f>
        <v>10.3</v>
      </c>
      <c r="G7" s="108">
        <f>VLOOKUP(CONSOLIDADO!$A7,COMPRAS!D:M,10,0)</f>
        <v>10.130000000000001</v>
      </c>
      <c r="H7" s="109">
        <f>Tabela4[[#This Row],[COTAÇÃO ATUAL]]/Tabela4[[#This Row],[PREÇO MÉDIO]]-1</f>
        <v>1.6781836130306038E-2</v>
      </c>
      <c r="I7" s="110">
        <f>CONSOLIDADO!$E7*CONSOLIDADO!$G7</f>
        <v>2360.29</v>
      </c>
      <c r="J7" s="110">
        <f>CONSOLIDADO!$E7*CONSOLIDADO!$F7</f>
        <v>2399.9</v>
      </c>
      <c r="K7" s="111">
        <f>CONSOLIDADO!$J7-CONSOLIDADO!$I7</f>
        <v>39.610000000000127</v>
      </c>
      <c r="L7" s="112">
        <f>CONSOLIDADO!$J7/CONSOLIDADO!$I7-1</f>
        <v>1.6781836130306038E-2</v>
      </c>
      <c r="M7" s="113">
        <f>CONSOLIDADO!$J7/$J$4</f>
        <v>3.0286540277350452E-2</v>
      </c>
      <c r="N7" s="112" t="str">
        <f t="shared" ref="N7:N29" si="0">IF(A7&lt;=0,"",E7&amp;" COTAS DE "&amp;C7&amp;" ,CÓDIGO DE NEGOCIAÇÃO: "&amp;A7&amp;". PREÇO MÉDIO DE R$ "&amp;G7&amp;" E CUSTO TOTAL DE AQUISIÇÃO DE R$ "&amp;I7)</f>
        <v>233 COTAS DE MAXI RENDA FUNDO DE INVESTIMENTO IMOBILIARIO - FII ,CÓDIGO DE NEGOCIAÇÃO: MXRF11. PREÇO MÉDIO DE R$ 10,13 E CUSTO TOTAL DE AQUISIÇÃO DE R$ 2360,29</v>
      </c>
      <c r="O7" s="30"/>
      <c r="P7" s="31"/>
    </row>
    <row r="8" spans="1:16" s="19" customFormat="1" x14ac:dyDescent="0.2">
      <c r="A8" s="76" t="s">
        <v>80</v>
      </c>
      <c r="B8" s="7" t="s">
        <v>1662</v>
      </c>
      <c r="C8" s="114" t="str">
        <f>VLOOKUP(CONSOLIDADO!$A8,COMPRAS!D:E,2,0)</f>
        <v>KINEA RENDA IMOBILIARIA FII</v>
      </c>
      <c r="D8" s="3" t="s">
        <v>2540</v>
      </c>
      <c r="E8" s="115">
        <f>VLOOKUP(CONSOLIDADO!$A8,COMPRAS!D:M,8,0)</f>
        <v>30</v>
      </c>
      <c r="F8" s="107">
        <f>VALUE(VLOOKUP(CONSOLIDADO!$A8,'COTAÇÃO ATUAL'!C:D,2,0))</f>
        <v>152.80000000000001</v>
      </c>
      <c r="G8" s="108">
        <f>VLOOKUP(CONSOLIDADO!$A8,COMPRAS!D:M,10,0)</f>
        <v>149.57</v>
      </c>
      <c r="H8" s="109">
        <f>Tabela4[[#This Row],[COTAÇÃO ATUAL]]/Tabela4[[#This Row],[PREÇO MÉDIO]]-1</f>
        <v>2.1595239687103085E-2</v>
      </c>
      <c r="I8" s="110">
        <f>CONSOLIDADO!$E8*CONSOLIDADO!$G8</f>
        <v>4487.0999999999995</v>
      </c>
      <c r="J8" s="110">
        <f>CONSOLIDADO!$E8*CONSOLIDADO!$F8</f>
        <v>4584</v>
      </c>
      <c r="K8" s="111">
        <f>CONSOLIDADO!$J8-CONSOLIDADO!$I8</f>
        <v>96.900000000000546</v>
      </c>
      <c r="L8" s="112">
        <f>CONSOLIDADO!$J8/CONSOLIDADO!$I8-1</f>
        <v>2.1595239687103085E-2</v>
      </c>
      <c r="M8" s="113">
        <f>CONSOLIDADO!$J8/$J$4</f>
        <v>5.7849702334003279E-2</v>
      </c>
      <c r="N8" s="112" t="str">
        <f t="shared" si="0"/>
        <v>30 COTAS DE KINEA RENDA IMOBILIARIA FII ,CÓDIGO DE NEGOCIAÇÃO: KNRI11. PREÇO MÉDIO DE R$ 149,57 E CUSTO TOTAL DE AQUISIÇÃO DE R$ 4487,1</v>
      </c>
      <c r="O8" s="30"/>
      <c r="P8" s="31"/>
    </row>
    <row r="9" spans="1:16" s="19" customFormat="1" x14ac:dyDescent="0.2">
      <c r="A9" s="76" t="s">
        <v>65</v>
      </c>
      <c r="B9" s="7" t="s">
        <v>1662</v>
      </c>
      <c r="C9" s="114" t="str">
        <f>VLOOKUP(CONSOLIDADO!$A9,COMPRAS!D:E,2,0)</f>
        <v>CSHG RENDA URBANA-FI IMOBILIARIO-FII</v>
      </c>
      <c r="D9" s="3" t="s">
        <v>2540</v>
      </c>
      <c r="E9" s="115">
        <f>VLOOKUP(CONSOLIDADO!$A9,COMPRAS!D:M,8,0)</f>
        <v>24</v>
      </c>
      <c r="F9" s="107">
        <f>VALUE(VLOOKUP(CONSOLIDADO!$A9,'COTAÇÃO ATUAL'!C:D,2,0))</f>
        <v>129.35</v>
      </c>
      <c r="G9" s="108">
        <f>VLOOKUP(CONSOLIDADO!$A9,COMPRAS!D:M,10,0)</f>
        <v>118.54</v>
      </c>
      <c r="H9" s="109">
        <f>Tabela4[[#This Row],[COTAÇÃO ATUAL]]/Tabela4[[#This Row],[PREÇO MÉDIO]]-1</f>
        <v>9.1192846296608732E-2</v>
      </c>
      <c r="I9" s="110">
        <f>CONSOLIDADO!$E9*CONSOLIDADO!$G9</f>
        <v>2844.96</v>
      </c>
      <c r="J9" s="110">
        <f>CONSOLIDADO!$E9*CONSOLIDADO!$F9</f>
        <v>3104.3999999999996</v>
      </c>
      <c r="K9" s="111">
        <f>CONSOLIDADO!$J9-CONSOLIDADO!$I9</f>
        <v>259.4399999999996</v>
      </c>
      <c r="L9" s="112">
        <f>CONSOLIDADO!$J9/CONSOLIDADO!$I9-1</f>
        <v>9.119284629660851E-2</v>
      </c>
      <c r="M9" s="113">
        <f>CONSOLIDADO!$J9/$J$4</f>
        <v>3.9177272235095935E-2</v>
      </c>
      <c r="N9" s="112" t="str">
        <f t="shared" si="0"/>
        <v>24 COTAS DE CSHG RENDA URBANA-FI IMOBILIARIO-FII ,CÓDIGO DE NEGOCIAÇÃO: HGRU11. PREÇO MÉDIO DE R$ 118,54 E CUSTO TOTAL DE AQUISIÇÃO DE R$ 2844,96</v>
      </c>
      <c r="O9" s="30"/>
      <c r="P9" s="31"/>
    </row>
    <row r="10" spans="1:16" s="19" customFormat="1" x14ac:dyDescent="0.2">
      <c r="A10" s="76" t="s">
        <v>151</v>
      </c>
      <c r="B10" s="7" t="s">
        <v>1662</v>
      </c>
      <c r="C10" s="114" t="str">
        <f>VLOOKUP(CONSOLIDADO!$A10,COMPRAS!D:E,2,0)</f>
        <v>VINCI OFFICES FDO INV IMOB - FII VINC COR</v>
      </c>
      <c r="D10" s="3" t="s">
        <v>2536</v>
      </c>
      <c r="E10" s="115">
        <f>VLOOKUP(CONSOLIDADO!$A10,COMPRAS!D:M,8,0)</f>
        <v>60</v>
      </c>
      <c r="F10" s="107">
        <f>VALUE(VLOOKUP(CONSOLIDADO!$A10,'COTAÇÃO ATUAL'!C:D,2,0))</f>
        <v>50</v>
      </c>
      <c r="G10" s="108">
        <f>VLOOKUP(CONSOLIDADO!$A10,COMPRAS!D:M,10,0)</f>
        <v>53.83</v>
      </c>
      <c r="H10" s="109">
        <f>Tabela4[[#This Row],[COTAÇÃO ATUAL]]/Tabela4[[#This Row],[PREÇO MÉDIO]]-1</f>
        <v>-7.1149916403492441E-2</v>
      </c>
      <c r="I10" s="110">
        <f>CONSOLIDADO!$E10*CONSOLIDADO!$G10</f>
        <v>3229.7999999999997</v>
      </c>
      <c r="J10" s="110">
        <f>CONSOLIDADO!$E10*CONSOLIDADO!$F10</f>
        <v>3000</v>
      </c>
      <c r="K10" s="111">
        <f>CONSOLIDADO!$J10-CONSOLIDADO!$I10</f>
        <v>-229.79999999999973</v>
      </c>
      <c r="L10" s="112">
        <f>CONSOLIDADO!$J10/CONSOLIDADO!$I10-1</f>
        <v>-7.1149916403492441E-2</v>
      </c>
      <c r="M10" s="113">
        <f>CONSOLIDADO!$J10/$J$4</f>
        <v>3.7859752836389579E-2</v>
      </c>
      <c r="N10" s="112" t="str">
        <f t="shared" si="0"/>
        <v>60 COTAS DE VINCI OFFICES FDO INV IMOB - FII VINC COR ,CÓDIGO DE NEGOCIAÇÃO: VINO11. PREÇO MÉDIO DE R$ 53,83 E CUSTO TOTAL DE AQUISIÇÃO DE R$ 3229,8</v>
      </c>
      <c r="O10" s="30"/>
      <c r="P10" s="31"/>
    </row>
    <row r="11" spans="1:16" s="19" customFormat="1" x14ac:dyDescent="0.2">
      <c r="A11" s="76" t="s">
        <v>166</v>
      </c>
      <c r="B11" s="7" t="s">
        <v>1662</v>
      </c>
      <c r="C11" s="114" t="str">
        <f>VLOOKUP(CONSOLIDADO!$A11,COMPRAS!D:E,2,0)</f>
        <v>XP MALLS FUNDO DE INVESTIMENTO IMOBILIARIO</v>
      </c>
      <c r="D11" s="3" t="s">
        <v>2539</v>
      </c>
      <c r="E11" s="115">
        <f>VLOOKUP(CONSOLIDADO!$A11,COMPRAS!D:M,8,0)</f>
        <v>22</v>
      </c>
      <c r="F11" s="107">
        <f>VALUE(VLOOKUP(CONSOLIDADO!$A11,'COTAÇÃO ATUAL'!C:D,2,0))</f>
        <v>103.56</v>
      </c>
      <c r="G11" s="108">
        <f>VLOOKUP(CONSOLIDADO!$A11,COMPRAS!D:M,10,0)</f>
        <v>105.35</v>
      </c>
      <c r="H11" s="109">
        <f>Tabela4[[#This Row],[COTAÇÃO ATUAL]]/Tabela4[[#This Row],[PREÇO MÉDIO]]-1</f>
        <v>-1.6990982439487379E-2</v>
      </c>
      <c r="I11" s="110">
        <f>CONSOLIDADO!$E11*CONSOLIDADO!$G11</f>
        <v>2317.6999999999998</v>
      </c>
      <c r="J11" s="110">
        <f>CONSOLIDADO!$E11*CONSOLIDADO!$F11</f>
        <v>2278.3200000000002</v>
      </c>
      <c r="K11" s="111">
        <f>CONSOLIDADO!$J11-CONSOLIDADO!$I11</f>
        <v>-39.379999999999654</v>
      </c>
      <c r="L11" s="112">
        <f>CONSOLIDADO!$J11/CONSOLIDADO!$I11-1</f>
        <v>-1.6990982439487268E-2</v>
      </c>
      <c r="M11" s="113">
        <f>CONSOLIDADO!$J11/$J$4</f>
        <v>2.8752210694067703E-2</v>
      </c>
      <c r="N11" s="112" t="str">
        <f t="shared" si="0"/>
        <v>22 COTAS DE XP MALLS FUNDO DE INVESTIMENTO IMOBILIARIO ,CÓDIGO DE NEGOCIAÇÃO: XPML11. PREÇO MÉDIO DE R$ 105,35 E CUSTO TOTAL DE AQUISIÇÃO DE R$ 2317,7</v>
      </c>
      <c r="O11" s="30"/>
      <c r="P11" s="31"/>
    </row>
    <row r="12" spans="1:16" s="19" customFormat="1" x14ac:dyDescent="0.2">
      <c r="A12" s="76" t="s">
        <v>64</v>
      </c>
      <c r="B12" s="7" t="s">
        <v>1662</v>
      </c>
      <c r="C12" s="114" t="str">
        <f>VLOOKUP(CONSOLIDADO!$A12,COMPRAS!D:E,2,0)</f>
        <v>CSHG REAL ESTATE FI IMOBILIARIO-FII</v>
      </c>
      <c r="D12" s="3" t="s">
        <v>2536</v>
      </c>
      <c r="E12" s="115">
        <f>VLOOKUP(CONSOLIDADO!$A12,COMPRAS!D:M,8,0)</f>
        <v>28</v>
      </c>
      <c r="F12" s="107">
        <f>VALUE(VLOOKUP(CONSOLIDADO!$A12,'COTAÇÃO ATUAL'!C:D,2,0))</f>
        <v>144.12</v>
      </c>
      <c r="G12" s="108">
        <f>VLOOKUP(CONSOLIDADO!$A12,COMPRAS!D:M,10,0)</f>
        <v>139.21</v>
      </c>
      <c r="H12" s="109">
        <f>Tabela4[[#This Row],[COTAÇÃO ATUAL]]/Tabela4[[#This Row],[PREÇO MÉDIO]]-1</f>
        <v>3.5270454708713483E-2</v>
      </c>
      <c r="I12" s="110">
        <f>CONSOLIDADO!$E12*CONSOLIDADO!$G12</f>
        <v>3897.88</v>
      </c>
      <c r="J12" s="110">
        <f>CONSOLIDADO!$E12*CONSOLIDADO!$F12</f>
        <v>4035.36</v>
      </c>
      <c r="K12" s="111">
        <f>CONSOLIDADO!$J12-CONSOLIDADO!$I12</f>
        <v>137.48000000000002</v>
      </c>
      <c r="L12" s="112">
        <f>CONSOLIDADO!$J12/CONSOLIDADO!$I12-1</f>
        <v>3.5270454708713483E-2</v>
      </c>
      <c r="M12" s="113">
        <f>CONSOLIDADO!$J12/$J$4</f>
        <v>5.0925910735284352E-2</v>
      </c>
      <c r="N12" s="112" t="str">
        <f t="shared" si="0"/>
        <v>28 COTAS DE CSHG REAL ESTATE FI IMOBILIARIO-FII ,CÓDIGO DE NEGOCIAÇÃO: HGRE11. PREÇO MÉDIO DE R$ 139,21 E CUSTO TOTAL DE AQUISIÇÃO DE R$ 3897,88</v>
      </c>
      <c r="O12" s="30"/>
      <c r="P12" s="31"/>
    </row>
    <row r="13" spans="1:16" s="19" customFormat="1" x14ac:dyDescent="0.2">
      <c r="A13" s="76" t="s">
        <v>62</v>
      </c>
      <c r="B13" s="7" t="s">
        <v>1662</v>
      </c>
      <c r="C13" s="114" t="str">
        <f>VLOOKUP(CONSOLIDADO!$A13,COMPRAS!D:E,2,0)</f>
        <v>CSHG LOGISTICA FND DE INVSTMNT IMBLR FII</v>
      </c>
      <c r="D13" s="3" t="s">
        <v>2538</v>
      </c>
      <c r="E13" s="115">
        <f>VLOOKUP(CONSOLIDADO!$A13,COMPRAS!D:M,8,0)</f>
        <v>21</v>
      </c>
      <c r="F13" s="107">
        <f>VALUE(VLOOKUP(CONSOLIDADO!$A13,'COTAÇÃO ATUAL'!C:D,2,0))</f>
        <v>171.5</v>
      </c>
      <c r="G13" s="108">
        <f>VLOOKUP(CONSOLIDADO!$A13,COMPRAS!D:M,10,0)</f>
        <v>166.39</v>
      </c>
      <c r="H13" s="109">
        <f>Tabela4[[#This Row],[COTAÇÃO ATUAL]]/Tabela4[[#This Row],[PREÇO MÉDIO]]-1</f>
        <v>3.071098022717722E-2</v>
      </c>
      <c r="I13" s="110">
        <f>CONSOLIDADO!$E13*CONSOLIDADO!$G13</f>
        <v>3494.1899999999996</v>
      </c>
      <c r="J13" s="110">
        <f>CONSOLIDADO!$E13*CONSOLIDADO!$F13</f>
        <v>3601.5</v>
      </c>
      <c r="K13" s="111">
        <f>CONSOLIDADO!$J13-CONSOLIDADO!$I13</f>
        <v>107.3100000000004</v>
      </c>
      <c r="L13" s="112">
        <f>CONSOLIDADO!$J13/CONSOLIDADO!$I13-1</f>
        <v>3.071098022717722E-2</v>
      </c>
      <c r="M13" s="113">
        <f>CONSOLIDADO!$J13/$J$4</f>
        <v>4.5450633280085688E-2</v>
      </c>
      <c r="N13" s="112" t="str">
        <f t="shared" si="0"/>
        <v>21 COTAS DE CSHG LOGISTICA FND DE INVSTMNT IMBLR FII ,CÓDIGO DE NEGOCIAÇÃO: HGLG11. PREÇO MÉDIO DE R$ 166,39 E CUSTO TOTAL DE AQUISIÇÃO DE R$ 3494,19</v>
      </c>
      <c r="O13" s="30"/>
      <c r="P13" s="31"/>
    </row>
    <row r="14" spans="1:16" s="19" customFormat="1" x14ac:dyDescent="0.2">
      <c r="A14" s="76" t="s">
        <v>12</v>
      </c>
      <c r="B14" s="7" t="s">
        <v>1662</v>
      </c>
      <c r="C14" s="114" t="str">
        <f>VLOOKUP(CONSOLIDADO!$A14,COMPRAS!D:E,2,0)</f>
        <v>FI IMOBILIARIO FII BTG PACTUAL FUNDO DE FUNDOS</v>
      </c>
      <c r="D14" s="3" t="s">
        <v>2537</v>
      </c>
      <c r="E14" s="115">
        <f>VLOOKUP(CONSOLIDADO!$A14,COMPRAS!D:M,8,0)</f>
        <v>54</v>
      </c>
      <c r="F14" s="107">
        <f>VALUE(VLOOKUP(CONSOLIDADO!$A14,'COTAÇÃO ATUAL'!C:D,2,0))</f>
        <v>71.680000000000007</v>
      </c>
      <c r="G14" s="108">
        <f>VLOOKUP(CONSOLIDADO!$A14,COMPRAS!D:M,10,0)</f>
        <v>77.819999999999993</v>
      </c>
      <c r="H14" s="109">
        <f>Tabela4[[#This Row],[COTAÇÃO ATUAL]]/Tabela4[[#This Row],[PREÇO MÉDIO]]-1</f>
        <v>-7.8900025700333942E-2</v>
      </c>
      <c r="I14" s="110">
        <f>CONSOLIDADO!$E14*CONSOLIDADO!$G14</f>
        <v>4202.28</v>
      </c>
      <c r="J14" s="110">
        <f>CONSOLIDADO!$E14*CONSOLIDADO!$F14</f>
        <v>3870.7200000000003</v>
      </c>
      <c r="K14" s="111">
        <f>CONSOLIDADO!$J14-CONSOLIDADO!$I14</f>
        <v>-331.55999999999949</v>
      </c>
      <c r="L14" s="112">
        <f>CONSOLIDADO!$J14/CONSOLIDADO!$I14-1</f>
        <v>-7.8900025700333942E-2</v>
      </c>
      <c r="M14" s="113">
        <f>CONSOLIDADO!$J14/$J$4</f>
        <v>4.8848167499623292E-2</v>
      </c>
      <c r="N14" s="112" t="str">
        <f t="shared" si="0"/>
        <v>54 COTAS DE FI IMOBILIARIO FII BTG PACTUAL FUNDO DE FUNDOS ,CÓDIGO DE NEGOCIAÇÃO: BCFF11. PREÇO MÉDIO DE R$ 77,82 E CUSTO TOTAL DE AQUISIÇÃO DE R$ 4202,28</v>
      </c>
      <c r="O14" s="30"/>
      <c r="P14" s="31"/>
    </row>
    <row r="15" spans="1:16" s="19" customFormat="1" x14ac:dyDescent="0.2">
      <c r="A15" s="76" t="s">
        <v>84</v>
      </c>
      <c r="B15" s="7" t="s">
        <v>1662</v>
      </c>
      <c r="C15" s="114" t="str">
        <f>VLOOKUP(CONSOLIDADO!$A15,COMPRAS!D:E,2,0)</f>
        <v>FUNDO DE INVESTIMENTO IMOBILIARIO - VBI LOGISTICO</v>
      </c>
      <c r="D15" s="3" t="s">
        <v>2538</v>
      </c>
      <c r="E15" s="115">
        <f>VLOOKUP(CONSOLIDADO!$A15,COMPRAS!D:M,8,0)</f>
        <v>29</v>
      </c>
      <c r="F15" s="107">
        <f>VALUE(VLOOKUP(CONSOLIDADO!$A15,'COTAÇÃO ATUAL'!C:D,2,0))</f>
        <v>116</v>
      </c>
      <c r="G15" s="108">
        <f>VLOOKUP(CONSOLIDADO!$A15,COMPRAS!D:M,10,0)</f>
        <v>107.01</v>
      </c>
      <c r="H15" s="109">
        <f>Tabela4[[#This Row],[COTAÇÃO ATUAL]]/Tabela4[[#This Row],[PREÇO MÉDIO]]-1</f>
        <v>8.4010840108400986E-2</v>
      </c>
      <c r="I15" s="110">
        <f>CONSOLIDADO!$E15*CONSOLIDADO!$G15</f>
        <v>3103.29</v>
      </c>
      <c r="J15" s="110">
        <f>CONSOLIDADO!$E15*CONSOLIDADO!$F15</f>
        <v>3364</v>
      </c>
      <c r="K15" s="111">
        <f>CONSOLIDADO!$J15-CONSOLIDADO!$I15</f>
        <v>260.71000000000004</v>
      </c>
      <c r="L15" s="112">
        <f>CONSOLIDADO!$J15/CONSOLIDADO!$I15-1</f>
        <v>8.4010840108400986E-2</v>
      </c>
      <c r="M15" s="113">
        <f>CONSOLIDADO!$J15/$J$4</f>
        <v>4.2453402847204849E-2</v>
      </c>
      <c r="N15" s="112" t="str">
        <f t="shared" si="0"/>
        <v>29 COTAS DE FUNDO DE INVESTIMENTO IMOBILIARIO - VBI LOGISTICO ,CÓDIGO DE NEGOCIAÇÃO: LVBI11. PREÇO MÉDIO DE R$ 107,01 E CUSTO TOTAL DE AQUISIÇÃO DE R$ 3103,29</v>
      </c>
      <c r="O15" s="30"/>
      <c r="P15" s="31"/>
    </row>
    <row r="16" spans="1:16" s="19" customFormat="1" x14ac:dyDescent="0.2">
      <c r="A16" s="76" t="s">
        <v>4</v>
      </c>
      <c r="B16" s="7" t="s">
        <v>1662</v>
      </c>
      <c r="C16" s="114" t="str">
        <f>VLOOKUP(CONSOLIDADO!$A16,COMPRAS!D:E,2,0)</f>
        <v>ALIANZA TRUST RENDA IMOBILIARIA FII</v>
      </c>
      <c r="D16" s="3" t="s">
        <v>2538</v>
      </c>
      <c r="E16" s="115">
        <f>VLOOKUP(CONSOLIDADO!$A16,COMPRAS!D:M,8,0)</f>
        <v>30</v>
      </c>
      <c r="F16" s="107">
        <f>VALUE(VLOOKUP(CONSOLIDADO!$A16,'COTAÇÃO ATUAL'!C:D,2,0))</f>
        <v>117.23</v>
      </c>
      <c r="G16" s="108">
        <f>VLOOKUP(CONSOLIDADO!$A16,COMPRAS!D:M,10,0)</f>
        <v>110.96</v>
      </c>
      <c r="H16" s="109">
        <f>Tabela4[[#This Row],[COTAÇÃO ATUAL]]/Tabela4[[#This Row],[PREÇO MÉDIO]]-1</f>
        <v>5.6506849315068663E-2</v>
      </c>
      <c r="I16" s="110">
        <f>CONSOLIDADO!$E16*CONSOLIDADO!$G16</f>
        <v>3328.7999999999997</v>
      </c>
      <c r="J16" s="110">
        <f>CONSOLIDADO!$E16*CONSOLIDADO!$F16</f>
        <v>3516.9</v>
      </c>
      <c r="K16" s="111">
        <f>CONSOLIDADO!$J16-CONSOLIDADO!$I16</f>
        <v>188.10000000000036</v>
      </c>
      <c r="L16" s="112">
        <f>CONSOLIDADO!$J16/CONSOLIDADO!$I16-1</f>
        <v>5.6506849315068663E-2</v>
      </c>
      <c r="M16" s="113">
        <f>CONSOLIDADO!$J16/$J$4</f>
        <v>4.4382988250099502E-2</v>
      </c>
      <c r="N16" s="112" t="str">
        <f t="shared" si="0"/>
        <v>30 COTAS DE ALIANZA TRUST RENDA IMOBILIARIA FII ,CÓDIGO DE NEGOCIAÇÃO: ALZR11. PREÇO MÉDIO DE R$ 110,96 E CUSTO TOTAL DE AQUISIÇÃO DE R$ 3328,8</v>
      </c>
      <c r="O16" s="30"/>
      <c r="P16" s="31"/>
    </row>
    <row r="17" spans="1:16" s="19" customFormat="1" x14ac:dyDescent="0.2">
      <c r="A17" s="76" t="s">
        <v>165</v>
      </c>
      <c r="B17" s="7" t="s">
        <v>1662</v>
      </c>
      <c r="C17" s="114" t="str">
        <f>VLOOKUP(CONSOLIDADO!$A17,COMPRAS!D:E,2,0)</f>
        <v>XP LOG FUNDO DE INVESTIMENTO IMOBILIARIO-FII</v>
      </c>
      <c r="D17" s="3" t="s">
        <v>2538</v>
      </c>
      <c r="E17" s="115">
        <f>VLOOKUP(CONSOLIDADO!$A17,COMPRAS!D:M,8,0)</f>
        <v>34</v>
      </c>
      <c r="F17" s="107">
        <f>VALUE(VLOOKUP(CONSOLIDADO!$A17,'COTAÇÃO ATUAL'!C:D,2,0))</f>
        <v>109.87</v>
      </c>
      <c r="G17" s="108">
        <f>VLOOKUP(CONSOLIDADO!$A17,COMPRAS!D:M,10,0)</f>
        <v>112.52</v>
      </c>
      <c r="H17" s="109">
        <f>Tabela4[[#This Row],[COTAÇÃO ATUAL]]/Tabela4[[#This Row],[PREÇO MÉDIO]]-1</f>
        <v>-2.3551368645574056E-2</v>
      </c>
      <c r="I17" s="110">
        <f>CONSOLIDADO!$E17*CONSOLIDADO!$G17</f>
        <v>3825.68</v>
      </c>
      <c r="J17" s="110">
        <f>CONSOLIDADO!$E17*CONSOLIDADO!$F17</f>
        <v>3735.58</v>
      </c>
      <c r="K17" s="111">
        <f>CONSOLIDADO!$J17-CONSOLIDADO!$I17</f>
        <v>-90.099999999999909</v>
      </c>
      <c r="L17" s="112">
        <f>CONSOLIDADO!$J17/CONSOLIDADO!$I17-1</f>
        <v>-2.3551368645574056E-2</v>
      </c>
      <c r="M17" s="113">
        <f>CONSOLIDADO!$J17/$J$4</f>
        <v>4.7142711833520062E-2</v>
      </c>
      <c r="N17" s="112" t="str">
        <f t="shared" si="0"/>
        <v>34 COTAS DE XP LOG FUNDO DE INVESTIMENTO IMOBILIARIO-FII ,CÓDIGO DE NEGOCIAÇÃO: XPLG11. PREÇO MÉDIO DE R$ 112,52 E CUSTO TOTAL DE AQUISIÇÃO DE R$ 3825,68</v>
      </c>
      <c r="O17" s="30"/>
      <c r="P17" s="31"/>
    </row>
    <row r="18" spans="1:16" s="19" customFormat="1" x14ac:dyDescent="0.2">
      <c r="A18" s="76" t="s">
        <v>150</v>
      </c>
      <c r="B18" s="7" t="s">
        <v>1662</v>
      </c>
      <c r="C18" s="114" t="str">
        <f>VLOOKUP(CONSOLIDADO!$A18,COMPRAS!D:E,2,0)</f>
        <v>VINCI LOGISTICA FUNDO DE INVESTIMENTO IMOBILIARIO</v>
      </c>
      <c r="D18" s="3" t="s">
        <v>2538</v>
      </c>
      <c r="E18" s="115">
        <f>VLOOKUP(CONSOLIDADO!$A18,COMPRAS!D:M,8,0)</f>
        <v>27</v>
      </c>
      <c r="F18" s="107">
        <f>VALUE(VLOOKUP(CONSOLIDADO!$A18,'COTAÇÃO ATUAL'!C:D,2,0))</f>
        <v>110.43</v>
      </c>
      <c r="G18" s="108">
        <f>VLOOKUP(CONSOLIDADO!$A18,COMPRAS!D:M,10,0)</f>
        <v>108.71</v>
      </c>
      <c r="H18" s="109">
        <f>Tabela4[[#This Row],[COTAÇÃO ATUAL]]/Tabela4[[#This Row],[PREÇO MÉDIO]]-1</f>
        <v>1.5821911507681197E-2</v>
      </c>
      <c r="I18" s="110">
        <f>CONSOLIDADO!$E18*CONSOLIDADO!$G18</f>
        <v>2935.1699999999996</v>
      </c>
      <c r="J18" s="110">
        <f>CONSOLIDADO!$E18*CONSOLIDADO!$F18</f>
        <v>2981.61</v>
      </c>
      <c r="K18" s="111">
        <f>CONSOLIDADO!$J18-CONSOLIDADO!$I18</f>
        <v>46.440000000000509</v>
      </c>
      <c r="L18" s="112">
        <f>CONSOLIDADO!$J18/CONSOLIDADO!$I18-1</f>
        <v>1.5821911507681197E-2</v>
      </c>
      <c r="M18" s="113">
        <f>CONSOLIDADO!$J18/$J$4</f>
        <v>3.7627672551502511E-2</v>
      </c>
      <c r="N18" s="112" t="str">
        <f t="shared" si="0"/>
        <v>27 COTAS DE VINCI LOGISTICA FUNDO DE INVESTIMENTO IMOBILIARIO ,CÓDIGO DE NEGOCIAÇÃO: VILG11. PREÇO MÉDIO DE R$ 108,71 E CUSTO TOTAL DE AQUISIÇÃO DE R$ 2935,17</v>
      </c>
      <c r="O18" s="30"/>
      <c r="P18" s="31"/>
    </row>
    <row r="19" spans="1:16" s="19" customFormat="1" x14ac:dyDescent="0.2">
      <c r="A19" s="76" t="s">
        <v>20</v>
      </c>
      <c r="B19" s="7" t="s">
        <v>1662</v>
      </c>
      <c r="C19" s="114" t="str">
        <f>VLOOKUP(CONSOLIDADO!$A19,COMPRAS!D:E,2,0)</f>
        <v>FII BTG PACTUAL CORPORATE OFFICE FUND</v>
      </c>
      <c r="D19" s="3" t="s">
        <v>2536</v>
      </c>
      <c r="E19" s="115">
        <f>VLOOKUP(CONSOLIDADO!$A19,COMPRAS!D:M,8,0)</f>
        <v>53</v>
      </c>
      <c r="F19" s="107">
        <f>VALUE(VLOOKUP(CONSOLIDADO!$A19,'COTAÇÃO ATUAL'!C:D,2,0))</f>
        <v>69.790000000000006</v>
      </c>
      <c r="G19" s="108">
        <f>VLOOKUP(CONSOLIDADO!$A19,COMPRAS!D:M,10,0)</f>
        <v>74.37</v>
      </c>
      <c r="H19" s="109">
        <f>Tabela4[[#This Row],[COTAÇÃO ATUAL]]/Tabela4[[#This Row],[PREÇO MÉDIO]]-1</f>
        <v>-6.1583972031733158E-2</v>
      </c>
      <c r="I19" s="110">
        <f>CONSOLIDADO!$E19*CONSOLIDADO!$G19</f>
        <v>3941.61</v>
      </c>
      <c r="J19" s="110">
        <f>CONSOLIDADO!$E19*CONSOLIDADO!$F19</f>
        <v>3698.8700000000003</v>
      </c>
      <c r="K19" s="111">
        <f>CONSOLIDADO!$J19-CONSOLIDADO!$I19</f>
        <v>-242.73999999999978</v>
      </c>
      <c r="L19" s="112">
        <f>CONSOLIDADO!$J19/CONSOLIDADO!$I19-1</f>
        <v>-6.1583972031733158E-2</v>
      </c>
      <c r="M19" s="113">
        <f>CONSOLIDADO!$J19/$J$4</f>
        <v>4.6679434657978781E-2</v>
      </c>
      <c r="N19" s="112" t="str">
        <f t="shared" si="0"/>
        <v>53 COTAS DE FII BTG PACTUAL CORPORATE OFFICE FUND ,CÓDIGO DE NEGOCIAÇÃO: BRCR11. PREÇO MÉDIO DE R$ 74,37 E CUSTO TOTAL DE AQUISIÇÃO DE R$ 3941,61</v>
      </c>
      <c r="O19" s="30"/>
      <c r="P19" s="31"/>
    </row>
    <row r="20" spans="1:16" s="19" customFormat="1" x14ac:dyDescent="0.2">
      <c r="A20" s="76" t="s">
        <v>124</v>
      </c>
      <c r="B20" s="7" t="s">
        <v>1662</v>
      </c>
      <c r="C20" s="114" t="str">
        <f>VLOOKUP(CONSOLIDADO!$A20,COMPRAS!D:E,2,0)</f>
        <v>FII RIO BRAVO RENDA VAREJO-FII</v>
      </c>
      <c r="D20" s="3" t="s">
        <v>2536</v>
      </c>
      <c r="E20" s="115">
        <f>VLOOKUP(CONSOLIDADO!$A20,COMPRAS!D:M,8,0)</f>
        <v>31</v>
      </c>
      <c r="F20" s="107">
        <f>VALUE(VLOOKUP(CONSOLIDADO!$A20,'COTAÇÃO ATUAL'!C:D,2,0))</f>
        <v>97.07</v>
      </c>
      <c r="G20" s="108">
        <f>VLOOKUP(CONSOLIDADO!$A20,COMPRAS!D:M,10,0)</f>
        <v>106.6</v>
      </c>
      <c r="H20" s="109">
        <f>Tabela4[[#This Row],[COTAÇÃO ATUAL]]/Tabela4[[#This Row],[PREÇO MÉDIO]]-1</f>
        <v>-8.9399624765478469E-2</v>
      </c>
      <c r="I20" s="110">
        <f>CONSOLIDADO!$E20*CONSOLIDADO!$G20</f>
        <v>3304.6</v>
      </c>
      <c r="J20" s="110">
        <f>CONSOLIDADO!$E20*CONSOLIDADO!$F20</f>
        <v>3009.1699999999996</v>
      </c>
      <c r="K20" s="111">
        <f>CONSOLIDADO!$J20-CONSOLIDADO!$I20</f>
        <v>-295.43000000000029</v>
      </c>
      <c r="L20" s="112">
        <f>CONSOLIDADO!$J20/CONSOLIDADO!$I20-1</f>
        <v>-8.9399624765478469E-2</v>
      </c>
      <c r="M20" s="113">
        <f>CONSOLIDADO!$J20/$J$4</f>
        <v>3.7975477480892805E-2</v>
      </c>
      <c r="N20" s="112" t="str">
        <f t="shared" si="0"/>
        <v>31 COTAS DE FII RIO BRAVO RENDA VAREJO-FII ,CÓDIGO DE NEGOCIAÇÃO: RBVA11. PREÇO MÉDIO DE R$ 106,6 E CUSTO TOTAL DE AQUISIÇÃO DE R$ 3304,6</v>
      </c>
      <c r="O20" s="30"/>
      <c r="P20" s="31"/>
    </row>
    <row r="21" spans="1:16" s="19" customFormat="1" x14ac:dyDescent="0.2">
      <c r="A21" s="76" t="s">
        <v>22</v>
      </c>
      <c r="B21" s="7" t="s">
        <v>1662</v>
      </c>
      <c r="C21" s="114" t="str">
        <f>VLOOKUP(CONSOLIDADO!$A21,COMPRAS!D:E,2,0)</f>
        <v>BTG PACTUAL LOGISTICA FI IMOBILIARIO</v>
      </c>
      <c r="D21" s="3" t="s">
        <v>2538</v>
      </c>
      <c r="E21" s="115">
        <f>VLOOKUP(CONSOLIDADO!$A21,COMPRAS!D:M,8,0)</f>
        <v>25</v>
      </c>
      <c r="F21" s="107">
        <f>VALUE(VLOOKUP(CONSOLIDADO!$A21,'COTAÇÃO ATUAL'!C:D,2,0))</f>
        <v>103</v>
      </c>
      <c r="G21" s="108">
        <f>VLOOKUP(CONSOLIDADO!$A21,COMPRAS!D:M,10,0)</f>
        <v>108.34</v>
      </c>
      <c r="H21" s="109">
        <f>Tabela4[[#This Row],[COTAÇÃO ATUAL]]/Tabela4[[#This Row],[PREÇO MÉDIO]]-1</f>
        <v>-4.9289274506184255E-2</v>
      </c>
      <c r="I21" s="110">
        <f>CONSOLIDADO!$E21*CONSOLIDADO!$G21</f>
        <v>2708.5</v>
      </c>
      <c r="J21" s="110">
        <f>CONSOLIDADO!$E21*CONSOLIDADO!$F21</f>
        <v>2575</v>
      </c>
      <c r="K21" s="111">
        <f>CONSOLIDADO!$J21-CONSOLIDADO!$I21</f>
        <v>-133.5</v>
      </c>
      <c r="L21" s="112">
        <f>CONSOLIDADO!$J21/CONSOLIDADO!$I21-1</f>
        <v>-4.9289274506184255E-2</v>
      </c>
      <c r="M21" s="113">
        <f>CONSOLIDADO!$J21/$J$4</f>
        <v>3.2496287851234387E-2</v>
      </c>
      <c r="N21" s="112" t="str">
        <f t="shared" si="0"/>
        <v>25 COTAS DE BTG PACTUAL LOGISTICA FI IMOBILIARIO ,CÓDIGO DE NEGOCIAÇÃO: BTLG11. PREÇO MÉDIO DE R$ 108,34 E CUSTO TOTAL DE AQUISIÇÃO DE R$ 2708,5</v>
      </c>
      <c r="O21" s="30"/>
      <c r="P21" s="31"/>
    </row>
    <row r="22" spans="1:16" s="19" customFormat="1" x14ac:dyDescent="0.2">
      <c r="A22" s="76" t="s">
        <v>72</v>
      </c>
      <c r="B22" s="7" t="s">
        <v>1662</v>
      </c>
      <c r="C22" s="114" t="str">
        <f>VLOOKUP(CONSOLIDADO!$A22,COMPRAS!D:E,2,0)</f>
        <v>FI IMOBILIARIO IRIDIUM RECEBIVEIS IMOBILIARIOS</v>
      </c>
      <c r="D22" s="3" t="s">
        <v>2541</v>
      </c>
      <c r="E22" s="115">
        <f>VLOOKUP(CONSOLIDADO!$A22,COMPRAS!D:M,8,0)</f>
        <v>25</v>
      </c>
      <c r="F22" s="107">
        <f>VALUE(VLOOKUP(CONSOLIDADO!$A22,'COTAÇÃO ATUAL'!C:D,2,0))</f>
        <v>103.01</v>
      </c>
      <c r="G22" s="108">
        <f>VLOOKUP(CONSOLIDADO!$A22,COMPRAS!D:M,10,0)</f>
        <v>108.36</v>
      </c>
      <c r="H22" s="109">
        <f>Tabela4[[#This Row],[COTAÇÃO ATUAL]]/Tabela4[[#This Row],[PREÇO MÉDIO]]-1</f>
        <v>-4.9372462163159825E-2</v>
      </c>
      <c r="I22" s="110">
        <f>CONSOLIDADO!$E22*CONSOLIDADO!$G22</f>
        <v>2709</v>
      </c>
      <c r="J22" s="110">
        <f>CONSOLIDADO!$E22*CONSOLIDADO!$F22</f>
        <v>2575.25</v>
      </c>
      <c r="K22" s="111">
        <f>CONSOLIDADO!$J22-CONSOLIDADO!$I22</f>
        <v>-133.75</v>
      </c>
      <c r="L22" s="112">
        <f>CONSOLIDADO!$J22/CONSOLIDADO!$I22-1</f>
        <v>-4.9372462163159825E-2</v>
      </c>
      <c r="M22" s="113">
        <f>CONSOLIDADO!$J22/$J$4</f>
        <v>3.2499442830637423E-2</v>
      </c>
      <c r="N22" s="112" t="str">
        <f t="shared" si="0"/>
        <v>25 COTAS DE FI IMOBILIARIO IRIDIUM RECEBIVEIS IMOBILIARIOS ,CÓDIGO DE NEGOCIAÇÃO: IRDM11. PREÇO MÉDIO DE R$ 108,36 E CUSTO TOTAL DE AQUISIÇÃO DE R$ 2709</v>
      </c>
      <c r="O22" s="30"/>
      <c r="P22" s="31"/>
    </row>
    <row r="23" spans="1:16" s="19" customFormat="1" x14ac:dyDescent="0.2">
      <c r="A23" s="76" t="s">
        <v>57</v>
      </c>
      <c r="B23" s="7" t="s">
        <v>1662</v>
      </c>
      <c r="C23" s="114" t="str">
        <f>VLOOKUP(CONSOLIDADO!$A23,COMPRAS!D:E,2,0)</f>
        <v>HECTARE CE - FI IMOBILIARIO</v>
      </c>
      <c r="D23" s="3" t="s">
        <v>2541</v>
      </c>
      <c r="E23" s="115">
        <f>VLOOKUP(CONSOLIDADO!$A23,COMPRAS!D:M,8,0)</f>
        <v>35</v>
      </c>
      <c r="F23" s="107">
        <f>VALUE(VLOOKUP(CONSOLIDADO!$A23,'COTAÇÃO ATUAL'!C:D,2,0))</f>
        <v>101.88</v>
      </c>
      <c r="G23" s="108">
        <f>VLOOKUP(CONSOLIDADO!$A23,COMPRAS!D:M,10,0)</f>
        <v>126.42</v>
      </c>
      <c r="H23" s="109">
        <f>Tabela4[[#This Row],[COTAÇÃO ATUAL]]/Tabela4[[#This Row],[PREÇO MÉDIO]]-1</f>
        <v>-0.1941148552444234</v>
      </c>
      <c r="I23" s="110">
        <f>CONSOLIDADO!$E23*CONSOLIDADO!$G23</f>
        <v>4424.7</v>
      </c>
      <c r="J23" s="110">
        <f>CONSOLIDADO!$E23*CONSOLIDADO!$F23</f>
        <v>3565.7999999999997</v>
      </c>
      <c r="K23" s="111">
        <f>CONSOLIDADO!$J23-CONSOLIDADO!$I23</f>
        <v>-858.90000000000009</v>
      </c>
      <c r="L23" s="112">
        <f>CONSOLIDADO!$J23/CONSOLIDADO!$I23-1</f>
        <v>-0.1941148552444234</v>
      </c>
      <c r="M23" s="113">
        <f>CONSOLIDADO!$J23/$J$4</f>
        <v>4.5000102221332654E-2</v>
      </c>
      <c r="N23" s="112" t="str">
        <f t="shared" si="0"/>
        <v>35 COTAS DE HECTARE CE - FI IMOBILIARIO ,CÓDIGO DE NEGOCIAÇÃO: HCTR11. PREÇO MÉDIO DE R$ 126,42 E CUSTO TOTAL DE AQUISIÇÃO DE R$ 4424,7</v>
      </c>
      <c r="O23" s="30"/>
      <c r="P23" s="31"/>
    </row>
    <row r="24" spans="1:16" x14ac:dyDescent="0.2">
      <c r="A24" s="76" t="s">
        <v>289</v>
      </c>
      <c r="B24" s="7" t="s">
        <v>2344</v>
      </c>
      <c r="C24" s="105" t="str">
        <f>VLOOKUP(CONSOLIDADO!$A24,COMPRAS!D:E,2,0)</f>
        <v>BANCO DO BRASIL SA</v>
      </c>
      <c r="D24" s="35" t="s">
        <v>1440</v>
      </c>
      <c r="E24" s="115">
        <f>VLOOKUP(CONSOLIDADO!$A24,COMPRAS!D:M,8,0)</f>
        <v>110</v>
      </c>
      <c r="F24" s="107">
        <f>VALUE(VLOOKUP(CONSOLIDADO!$A24,'COTAÇÃO ATUAL'!C:D,2,0))</f>
        <v>38.520000000000003</v>
      </c>
      <c r="G24" s="116">
        <f>VLOOKUP(CONSOLIDADO!$A24,COMPRAS!D:M,10,0)</f>
        <v>30.71</v>
      </c>
      <c r="H24" s="109">
        <f>Tabela4[[#This Row],[COTAÇÃO ATUAL]]/Tabela4[[#This Row],[PREÇO MÉDIO]]-1</f>
        <v>0.25431455551937487</v>
      </c>
      <c r="I24" s="110">
        <f>CONSOLIDADO!$E24*CONSOLIDADO!$G24</f>
        <v>3378.1</v>
      </c>
      <c r="J24" s="117">
        <f>CONSOLIDADO!$E24*CONSOLIDADO!$F24</f>
        <v>4237.2000000000007</v>
      </c>
      <c r="K24" s="118">
        <f>CONSOLIDADO!$J24-CONSOLIDADO!$I24</f>
        <v>859.10000000000082</v>
      </c>
      <c r="L24" s="119">
        <f>CONSOLIDADO!$J24/CONSOLIDADO!$I24-1</f>
        <v>0.2543145555193751</v>
      </c>
      <c r="M24" s="113">
        <f>CONSOLIDADO!$J24/$J$4</f>
        <v>5.3473114906116649E-2</v>
      </c>
      <c r="N24" s="120" t="str">
        <f t="shared" si="0"/>
        <v>110 COTAS DE BANCO DO BRASIL SA ,CÓDIGO DE NEGOCIAÇÃO: BBAS3. PREÇO MÉDIO DE R$ 30,71 E CUSTO TOTAL DE AQUISIÇÃO DE R$ 3378,1</v>
      </c>
    </row>
    <row r="25" spans="1:16" x14ac:dyDescent="0.2">
      <c r="A25" s="76" t="s">
        <v>1263</v>
      </c>
      <c r="B25" s="7" t="s">
        <v>2344</v>
      </c>
      <c r="C25" s="105" t="str">
        <f>VLOOKUP(CONSOLIDADO!$A25,COMPRAS!D:E,2,0)</f>
        <v>B3 SA BRASIL BOLSA BALCAO</v>
      </c>
      <c r="D25" s="35" t="s">
        <v>1440</v>
      </c>
      <c r="E25" s="115">
        <f>VLOOKUP(CONSOLIDADO!$A25,COMPRAS!D:M,8,0)</f>
        <v>285</v>
      </c>
      <c r="F25" s="107">
        <f>VALUE(VLOOKUP(CONSOLIDADO!$A25,'COTAÇÃO ATUAL'!C:D,2,0))</f>
        <v>13.05</v>
      </c>
      <c r="G25" s="116">
        <f>VLOOKUP(CONSOLIDADO!$A25,COMPRAS!D:M,10,0)</f>
        <v>12.78</v>
      </c>
      <c r="H25" s="109">
        <f>Tabela4[[#This Row],[COTAÇÃO ATUAL]]/Tabela4[[#This Row],[PREÇO MÉDIO]]-1</f>
        <v>2.1126760563380476E-2</v>
      </c>
      <c r="I25" s="110">
        <f>CONSOLIDADO!$E25*CONSOLIDADO!$G25</f>
        <v>3642.2999999999997</v>
      </c>
      <c r="J25" s="117">
        <f>CONSOLIDADO!$E25*CONSOLIDADO!$F25</f>
        <v>3719.25</v>
      </c>
      <c r="K25" s="118">
        <f>CONSOLIDADO!$J25-CONSOLIDADO!$I25</f>
        <v>76.950000000000273</v>
      </c>
      <c r="L25" s="119">
        <f>CONSOLIDADO!$J25/CONSOLIDADO!$I25-1</f>
        <v>2.1126760563380254E-2</v>
      </c>
      <c r="M25" s="113">
        <f>CONSOLIDADO!$J25/$J$4</f>
        <v>4.693662857891398E-2</v>
      </c>
      <c r="N25" s="120" t="str">
        <f t="shared" si="0"/>
        <v>285 COTAS DE B3 SA BRASIL BOLSA BALCAO ,CÓDIGO DE NEGOCIAÇÃO: B3SA3. PREÇO MÉDIO DE R$ 12,78 E CUSTO TOTAL DE AQUISIÇÃO DE R$ 3642,3</v>
      </c>
    </row>
    <row r="26" spans="1:16" x14ac:dyDescent="0.2">
      <c r="A26" s="76" t="s">
        <v>277</v>
      </c>
      <c r="B26" s="7" t="s">
        <v>2344</v>
      </c>
      <c r="C26" s="105" t="str">
        <f>VLOOKUP(CONSOLIDADO!$A26,COMPRAS!D:E,2,0)</f>
        <v>TRANSMISSORA ALIANCA ENERGIA ELETRICA SA PREFERENCE SHARES</v>
      </c>
      <c r="D26" s="35" t="s">
        <v>2345</v>
      </c>
      <c r="E26" s="115">
        <f>VLOOKUP(CONSOLIDADO!$A26,COMPRAS!D:M,8,0)</f>
        <v>266</v>
      </c>
      <c r="F26" s="107">
        <f>VALUE(VLOOKUP(CONSOLIDADO!$A26,'COTAÇÃO ATUAL'!C:D,2,0))</f>
        <v>13.04</v>
      </c>
      <c r="G26" s="116">
        <f>VLOOKUP(CONSOLIDADO!$A26,COMPRAS!D:M,10,0)</f>
        <v>11.62</v>
      </c>
      <c r="H26" s="109">
        <f>Tabela4[[#This Row],[COTAÇÃO ATUAL]]/Tabela4[[#This Row],[PREÇO MÉDIO]]-1</f>
        <v>0.12220309810671259</v>
      </c>
      <c r="I26" s="110">
        <f>CONSOLIDADO!$E26*CONSOLIDADO!$G26</f>
        <v>3090.9199999999996</v>
      </c>
      <c r="J26" s="117">
        <f>CONSOLIDADO!$E26*CONSOLIDADO!$F26</f>
        <v>3468.64</v>
      </c>
      <c r="K26" s="118">
        <f>CONSOLIDADO!$J26-CONSOLIDADO!$I26</f>
        <v>377.72000000000025</v>
      </c>
      <c r="L26" s="119">
        <f>CONSOLIDADO!$J26/CONSOLIDADO!$I26-1</f>
        <v>0.12220309810671259</v>
      </c>
      <c r="M26" s="113">
        <f>CONSOLIDADO!$J26/$J$4</f>
        <v>4.3773951026138118E-2</v>
      </c>
      <c r="N26" s="120" t="str">
        <f t="shared" si="0"/>
        <v>266 COTAS DE TRANSMISSORA ALIANCA ENERGIA ELETRICA SA PREFERENCE SHARES ,CÓDIGO DE NEGOCIAÇÃO: TAEE4. PREÇO MÉDIO DE R$ 11,62 E CUSTO TOTAL DE AQUISIÇÃO DE R$ 3090,92</v>
      </c>
    </row>
    <row r="27" spans="1:16" x14ac:dyDescent="0.2">
      <c r="A27" s="76" t="s">
        <v>264</v>
      </c>
      <c r="B27" s="7" t="s">
        <v>2344</v>
      </c>
      <c r="C27" s="105" t="str">
        <f>VLOOKUP(CONSOLIDADO!$A27,COMPRAS!D:E,2,0)</f>
        <v>BANCO SANTANDER BRASIL SA PREFERENCE SHARES</v>
      </c>
      <c r="D27" s="35" t="s">
        <v>1440</v>
      </c>
      <c r="E27" s="115">
        <f>VLOOKUP(CONSOLIDADO!$A27,COMPRAS!D:M,8,0)</f>
        <v>245</v>
      </c>
      <c r="F27" s="107">
        <f>VALUE(VLOOKUP(CONSOLIDADO!$A27,'COTAÇÃO ATUAL'!C:D,2,0))</f>
        <v>16</v>
      </c>
      <c r="G27" s="116">
        <f>VLOOKUP(CONSOLIDADO!$A27,COMPRAS!D:M,10,0)</f>
        <v>18.010000000000002</v>
      </c>
      <c r="H27" s="109">
        <f>Tabela4[[#This Row],[COTAÇÃO ATUAL]]/Tabela4[[#This Row],[PREÇO MÉDIO]]-1</f>
        <v>-0.11160466407551373</v>
      </c>
      <c r="I27" s="110">
        <f>CONSOLIDADO!$E27*CONSOLIDADO!$G27</f>
        <v>4412.4500000000007</v>
      </c>
      <c r="J27" s="117">
        <f>CONSOLIDADO!$E27*CONSOLIDADO!$F27</f>
        <v>3920</v>
      </c>
      <c r="K27" s="118">
        <f>CONSOLIDADO!$J27-CONSOLIDADO!$I27</f>
        <v>-492.45000000000073</v>
      </c>
      <c r="L27" s="119">
        <f>CONSOLIDADO!$J27/CONSOLIDADO!$I27-1</f>
        <v>-0.11160466407551373</v>
      </c>
      <c r="M27" s="113">
        <f>CONSOLIDADO!$J27/$J$4</f>
        <v>4.9470077039549053E-2</v>
      </c>
      <c r="N27" s="120" t="str">
        <f t="shared" si="0"/>
        <v>245 COTAS DE BANCO SANTANDER BRASIL SA PREFERENCE SHARES ,CÓDIGO DE NEGOCIAÇÃO: SANB4. PREÇO MÉDIO DE R$ 18,01 E CUSTO TOTAL DE AQUISIÇÃO DE R$ 4412,45</v>
      </c>
    </row>
    <row r="28" spans="1:16" x14ac:dyDescent="0.2">
      <c r="A28" s="76" t="s">
        <v>262</v>
      </c>
      <c r="B28" s="7" t="s">
        <v>2344</v>
      </c>
      <c r="C28" s="105" t="str">
        <f>VLOOKUP(CONSOLIDADO!$A28,COMPRAS!D:E,2,0)</f>
        <v>CTEEP CIA TRANSM ENERGIA ELETR PAULISTA PREFERENCE SHARES</v>
      </c>
      <c r="D28" s="35" t="s">
        <v>2345</v>
      </c>
      <c r="E28" s="115">
        <f>VLOOKUP(CONSOLIDADO!$A28,COMPRAS!D:M,8,0)</f>
        <v>155</v>
      </c>
      <c r="F28" s="107">
        <f>VALUE(VLOOKUP(CONSOLIDADO!$A28,'COTAÇÃO ATUAL'!C:D,2,0))</f>
        <v>22.97</v>
      </c>
      <c r="G28" s="116">
        <f>VLOOKUP(CONSOLIDADO!$A28,COMPRAS!D:M,10,0)</f>
        <v>22.62</v>
      </c>
      <c r="H28" s="109">
        <f>Tabela4[[#This Row],[COTAÇÃO ATUAL]]/Tabela4[[#This Row],[PREÇO MÉDIO]]-1</f>
        <v>1.5473032714411916E-2</v>
      </c>
      <c r="I28" s="110">
        <f>CONSOLIDADO!$E28*CONSOLIDADO!$G28</f>
        <v>3506.1000000000004</v>
      </c>
      <c r="J28" s="117">
        <f>CONSOLIDADO!$E28*CONSOLIDADO!$F28</f>
        <v>3560.35</v>
      </c>
      <c r="K28" s="118">
        <f>CONSOLIDADO!$J28-CONSOLIDADO!$I28</f>
        <v>54.249999999999545</v>
      </c>
      <c r="L28" s="119">
        <f>CONSOLIDADO!$J28/CONSOLIDADO!$I28-1</f>
        <v>1.5473032714411916E-2</v>
      </c>
      <c r="M28" s="113">
        <f>CONSOLIDADO!$J28/$J$4</f>
        <v>4.4931323670346544E-2</v>
      </c>
      <c r="N28" s="120" t="str">
        <f t="shared" si="0"/>
        <v>155 COTAS DE CTEEP CIA TRANSM ENERGIA ELETR PAULISTA PREFERENCE SHARES ,CÓDIGO DE NEGOCIAÇÃO: TRPL4. PREÇO MÉDIO DE R$ 22,62 E CUSTO TOTAL DE AQUISIÇÃO DE R$ 3506,1</v>
      </c>
    </row>
    <row r="29" spans="1:16" x14ac:dyDescent="0.2">
      <c r="A29" s="76" t="s">
        <v>266</v>
      </c>
      <c r="B29" s="7" t="s">
        <v>2344</v>
      </c>
      <c r="C29" s="105" t="str">
        <f>VLOOKUP(CONSOLIDADO!$A29,COMPRAS!D:E,2,0)</f>
        <v>ENERGY OF MINAS GERAIS CO</v>
      </c>
      <c r="D29" s="35" t="s">
        <v>2345</v>
      </c>
      <c r="E29" s="115">
        <f>VLOOKUP(CONSOLIDADO!$A29,COMPRAS!D:M,8,0)</f>
        <v>110</v>
      </c>
      <c r="F29" s="107">
        <f>VALUE(VLOOKUP(CONSOLIDADO!$A29,'COTAÇÃO ATUAL'!C:D,2,0))</f>
        <v>16.2</v>
      </c>
      <c r="G29" s="116">
        <f>VLOOKUP(CONSOLIDADO!$A29,COMPRAS!D:M,10,0)</f>
        <v>15.45</v>
      </c>
      <c r="H29" s="109">
        <f>Tabela4[[#This Row],[COTAÇÃO ATUAL]]/Tabela4[[#This Row],[PREÇO MÉDIO]]-1</f>
        <v>4.8543689320388328E-2</v>
      </c>
      <c r="I29" s="110">
        <f>CONSOLIDADO!$E29*CONSOLIDADO!$G29</f>
        <v>1699.5</v>
      </c>
      <c r="J29" s="117">
        <f>CONSOLIDADO!$E29*CONSOLIDADO!$F29</f>
        <v>1782</v>
      </c>
      <c r="K29" s="118">
        <f>CONSOLIDADO!$J29-CONSOLIDADO!$I29</f>
        <v>82.5</v>
      </c>
      <c r="L29" s="119">
        <f>CONSOLIDADO!$J29/CONSOLIDADO!$I29-1</f>
        <v>4.8543689320388328E-2</v>
      </c>
      <c r="M29" s="113">
        <f>CONSOLIDADO!$J29/$J$4</f>
        <v>2.248869318481541E-2</v>
      </c>
      <c r="N29" s="120" t="str">
        <f t="shared" si="0"/>
        <v>110 COTAS DE ENERGY OF MINAS GERAIS CO ,CÓDIGO DE NEGOCIAÇÃO: CMIG3. PREÇO MÉDIO DE R$ 15,45 E CUSTO TOTAL DE AQUISIÇÃO DE R$ 1699,5</v>
      </c>
    </row>
    <row r="30" spans="1:16" x14ac:dyDescent="0.2">
      <c r="A30" s="101" t="s">
        <v>287</v>
      </c>
      <c r="B30" s="102" t="s">
        <v>2344</v>
      </c>
      <c r="C30" s="121" t="str">
        <f>VLOOKUP(CONSOLIDADO!$A30,COMPRAS!D:E,2,0)</f>
        <v>COMPANHIA DE SANEAMENTO PARANA SANEPAR</v>
      </c>
      <c r="D30" s="103" t="s">
        <v>1441</v>
      </c>
      <c r="E30" s="122">
        <f>VLOOKUP(CONSOLIDADO!$A30,COMPRAS!D:M,8,0)</f>
        <v>800</v>
      </c>
      <c r="F30" s="123">
        <f>VALUE(VLOOKUP(CONSOLIDADO!$A30,'COTAÇÃO ATUAL'!C:D,2,0))</f>
        <v>3.32</v>
      </c>
      <c r="G30" s="124">
        <f>VLOOKUP(CONSOLIDADO!$A30,COMPRAS!D:M,10,0)</f>
        <v>4.1100000000000003</v>
      </c>
      <c r="H30" s="125">
        <f>Tabela4[[#This Row],[COTAÇÃO ATUAL]]/Tabela4[[#This Row],[PREÇO MÉDIO]]-1</f>
        <v>-0.19221411192214122</v>
      </c>
      <c r="I30" s="126">
        <f>CONSOLIDADO!$E30*CONSOLIDADO!$G30</f>
        <v>3288.0000000000005</v>
      </c>
      <c r="J30" s="127">
        <f>CONSOLIDADO!$E30*CONSOLIDADO!$F30</f>
        <v>2656</v>
      </c>
      <c r="K30" s="128">
        <f>CONSOLIDADO!$J30-CONSOLIDADO!$I30</f>
        <v>-632.00000000000045</v>
      </c>
      <c r="L30" s="129">
        <f>CONSOLIDADO!$J30/CONSOLIDADO!$I30-1</f>
        <v>-0.19221411192214122</v>
      </c>
      <c r="M30" s="113">
        <f>CONSOLIDADO!$J30/$J$4</f>
        <v>3.3518501177816906E-2</v>
      </c>
      <c r="N30" s="130" t="str">
        <f>IF(A30&lt;=0,"",E30&amp;" COTAS DE "&amp;C30&amp;" ,CÓDIGO DE NEGOCIAÇÃO: "&amp;A30&amp;". PREÇO MÉDIO DE R$ "&amp;G30&amp;" E CUSTO TOTAL DE AQUISIÇÃO DE R$ "&amp;I30)</f>
        <v>800 COTAS DE COMPANHIA DE SANEAMENTO PARANA SANEPAR ,CÓDIGO DE NEGOCIAÇÃO: SAPR3. PREÇO MÉDIO DE R$ 4,11 E CUSTO TOTAL DE AQUISIÇÃO DE R$ 3288</v>
      </c>
    </row>
    <row r="32" spans="1:16" x14ac:dyDescent="0.2">
      <c r="J32" s="50"/>
    </row>
  </sheetData>
  <phoneticPr fontId="6" type="noConversion"/>
  <printOptions horizontalCentered="1"/>
  <pageMargins left="0.19685039370078741" right="0.19685039370078741" top="0.19685039370078741" bottom="0.19685039370078741" header="0.11811023622047245" footer="0.11811023622047245"/>
  <pageSetup paperSize="9" scale="63" orientation="portrait" r:id="rId1"/>
  <headerFooter>
    <oddFooter>&amp;LClassificação Setorial - 30/06/2020&amp;R&amp;P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14969-5AC9-4FA0-B897-E6986C64EA1C}">
  <sheetPr codeName="Planilha3"/>
  <dimension ref="A1:L461"/>
  <sheetViews>
    <sheetView workbookViewId="0">
      <pane ySplit="1" topLeftCell="A2" activePane="bottomLeft" state="frozen"/>
      <selection pane="bottomLeft" activeCell="F11" sqref="F11"/>
    </sheetView>
  </sheetViews>
  <sheetFormatPr defaultRowHeight="15" x14ac:dyDescent="0.25"/>
  <cols>
    <col min="1" max="1" width="9.140625" style="47"/>
    <col min="2" max="2" width="9.140625" style="92"/>
    <col min="3" max="3" width="11.5703125" style="47" bestFit="1" customWidth="1"/>
    <col min="4" max="4" width="9.140625" style="47"/>
    <col min="5" max="5" width="20.140625" bestFit="1" customWidth="1"/>
    <col min="6" max="6" width="79.140625" bestFit="1" customWidth="1"/>
    <col min="7" max="7" width="18" customWidth="1"/>
    <col min="8" max="8" width="25.140625" bestFit="1" customWidth="1"/>
    <col min="9" max="9" width="14.7109375" customWidth="1"/>
    <col min="10" max="10" width="17.140625" customWidth="1"/>
    <col min="11" max="11" width="15.85546875" customWidth="1"/>
    <col min="12" max="12" width="16.42578125" bestFit="1" customWidth="1"/>
  </cols>
  <sheetData>
    <row r="1" spans="1:12" ht="16.5" x14ac:dyDescent="0.3">
      <c r="A1" s="93" t="s">
        <v>170</v>
      </c>
      <c r="B1" s="93" t="s">
        <v>2346</v>
      </c>
      <c r="C1" s="93" t="s">
        <v>2379</v>
      </c>
      <c r="D1" s="93" t="s">
        <v>2378</v>
      </c>
      <c r="E1" s="93" t="s">
        <v>2535</v>
      </c>
      <c r="F1" s="94" t="s">
        <v>2402</v>
      </c>
      <c r="G1" s="94" t="s">
        <v>2522</v>
      </c>
      <c r="H1" s="94" t="s">
        <v>2403</v>
      </c>
      <c r="I1" s="94" t="s">
        <v>2404</v>
      </c>
      <c r="J1" s="94" t="s">
        <v>1664</v>
      </c>
      <c r="K1" s="94" t="s">
        <v>2405</v>
      </c>
      <c r="L1" s="94" t="s">
        <v>2406</v>
      </c>
    </row>
    <row r="2" spans="1:12" x14ac:dyDescent="0.25">
      <c r="A2" s="47" t="str">
        <f t="shared" ref="A2:A40" si="0">MID(F2,1,SEARCH(" ",F2)-1)</f>
        <v>CMIG3</v>
      </c>
      <c r="B2" s="92" t="s">
        <v>2344</v>
      </c>
      <c r="C2" s="47" t="str">
        <f>UPPER(TEXT(G2,"MMMM"))</f>
        <v>DEZEMBRO</v>
      </c>
      <c r="D2" s="47">
        <f>YEAR(G2)</f>
        <v>2020</v>
      </c>
      <c r="E2" s="60">
        <f>IFERROR(AVERAGEIFS(K:K,A:A,'TAB DIN PROVENTOS B3'!$L$3),"")</f>
        <v>1.2070588235294117</v>
      </c>
      <c r="F2" t="s">
        <v>2407</v>
      </c>
      <c r="G2" s="45" t="s">
        <v>2408</v>
      </c>
      <c r="H2" t="s">
        <v>2350</v>
      </c>
      <c r="I2" t="s">
        <v>2348</v>
      </c>
      <c r="J2" s="36">
        <v>1</v>
      </c>
      <c r="K2" s="46">
        <v>0.25</v>
      </c>
      <c r="L2" s="46">
        <v>24.97</v>
      </c>
    </row>
    <row r="3" spans="1:12" x14ac:dyDescent="0.25">
      <c r="A3" s="47" t="str">
        <f t="shared" si="0"/>
        <v>TAEE4</v>
      </c>
      <c r="B3" s="92" t="s">
        <v>2344</v>
      </c>
      <c r="C3" s="47" t="str">
        <f t="shared" ref="C3:C41" si="1">UPPER(TEXT(G3,"MMMM"))</f>
        <v>DEZEMBRO</v>
      </c>
      <c r="D3" s="47">
        <f t="shared" ref="D3:D41" si="2">YEAR(G3)</f>
        <v>2020</v>
      </c>
      <c r="E3" s="60">
        <f>IFERROR(AVERAGEIFS(K:K,A:A,'TAB DIN PROVENTOS B3'!$L$3),"")</f>
        <v>1.2070588235294117</v>
      </c>
      <c r="F3" t="s">
        <v>2409</v>
      </c>
      <c r="G3" s="45" t="s">
        <v>2351</v>
      </c>
      <c r="H3" t="s">
        <v>2349</v>
      </c>
      <c r="I3" t="s">
        <v>2348</v>
      </c>
      <c r="J3" s="36">
        <v>1</v>
      </c>
      <c r="K3" s="46">
        <v>0.05</v>
      </c>
      <c r="L3" s="46">
        <v>13.38</v>
      </c>
    </row>
    <row r="4" spans="1:12" x14ac:dyDescent="0.25">
      <c r="A4" s="47" t="str">
        <f t="shared" si="0"/>
        <v>SANB4</v>
      </c>
      <c r="B4" s="92" t="s">
        <v>2344</v>
      </c>
      <c r="C4" s="47" t="str">
        <f t="shared" si="1"/>
        <v>DEZEMBRO</v>
      </c>
      <c r="D4" s="47">
        <f t="shared" si="2"/>
        <v>2020</v>
      </c>
      <c r="E4" s="60">
        <f>IFERROR(AVERAGEIFS(K:K,A:A,'TAB DIN PROVENTOS B3'!$L$3),"")</f>
        <v>1.2070588235294117</v>
      </c>
      <c r="F4" t="s">
        <v>2410</v>
      </c>
      <c r="G4" s="45" t="s">
        <v>2314</v>
      </c>
      <c r="H4" t="s">
        <v>2349</v>
      </c>
      <c r="I4" t="s">
        <v>2348</v>
      </c>
      <c r="J4" s="36">
        <v>1</v>
      </c>
      <c r="K4" s="46">
        <v>0.14000000000000001</v>
      </c>
      <c r="L4" s="46">
        <v>11.95</v>
      </c>
    </row>
    <row r="5" spans="1:12" x14ac:dyDescent="0.25">
      <c r="A5" s="47" t="str">
        <f t="shared" si="0"/>
        <v>XPML11</v>
      </c>
      <c r="B5" s="92" t="s">
        <v>1662</v>
      </c>
      <c r="C5" s="47" t="str">
        <f t="shared" si="1"/>
        <v>DEZEMBRO</v>
      </c>
      <c r="D5" s="47">
        <f t="shared" si="2"/>
        <v>2020</v>
      </c>
      <c r="E5" s="60">
        <f>IFERROR(AVERAGEIFS(K:K,A:A,'TAB DIN PROVENTOS B3'!$L$3),"")</f>
        <v>1.2070588235294117</v>
      </c>
      <c r="F5" t="s">
        <v>2411</v>
      </c>
      <c r="G5" s="45" t="s">
        <v>2314</v>
      </c>
      <c r="H5" t="s">
        <v>2412</v>
      </c>
      <c r="I5" t="s">
        <v>2348</v>
      </c>
      <c r="J5" s="36">
        <v>1</v>
      </c>
      <c r="K5" s="46">
        <v>0.45</v>
      </c>
      <c r="L5" s="46">
        <v>0.9</v>
      </c>
    </row>
    <row r="6" spans="1:12" x14ac:dyDescent="0.25">
      <c r="A6" s="47" t="str">
        <f t="shared" si="0"/>
        <v>RBVA11</v>
      </c>
      <c r="B6" s="92" t="s">
        <v>1662</v>
      </c>
      <c r="C6" s="47" t="str">
        <f t="shared" si="1"/>
        <v>DEZEMBRO</v>
      </c>
      <c r="D6" s="47">
        <f t="shared" si="2"/>
        <v>2020</v>
      </c>
      <c r="E6" s="60">
        <f>IFERROR(AVERAGEIFS(K:K,A:A,'TAB DIN PROVENTOS B3'!$L$3),"")</f>
        <v>1.2070588235294117</v>
      </c>
      <c r="F6" t="s">
        <v>2413</v>
      </c>
      <c r="G6" s="45" t="s">
        <v>2352</v>
      </c>
      <c r="H6" t="s">
        <v>2412</v>
      </c>
      <c r="I6" t="s">
        <v>2348</v>
      </c>
      <c r="J6" s="36">
        <v>1</v>
      </c>
      <c r="K6" s="46">
        <v>0.95</v>
      </c>
      <c r="L6" s="46">
        <v>15.2</v>
      </c>
    </row>
    <row r="7" spans="1:12" x14ac:dyDescent="0.25">
      <c r="A7" s="47" t="str">
        <f t="shared" si="0"/>
        <v>BCFF11</v>
      </c>
      <c r="B7" s="92" t="s">
        <v>1662</v>
      </c>
      <c r="C7" s="47" t="str">
        <f t="shared" si="1"/>
        <v>DEZEMBRO</v>
      </c>
      <c r="D7" s="47">
        <f t="shared" si="2"/>
        <v>2020</v>
      </c>
      <c r="E7" s="60">
        <f>IFERROR(AVERAGEIFS(K:K,A:A,'TAB DIN PROVENTOS B3'!$L$3),"")</f>
        <v>1.2070588235294117</v>
      </c>
      <c r="F7" t="s">
        <v>2414</v>
      </c>
      <c r="G7" s="45" t="s">
        <v>2353</v>
      </c>
      <c r="H7" t="s">
        <v>2412</v>
      </c>
      <c r="I7" t="s">
        <v>2348</v>
      </c>
      <c r="J7" s="36">
        <v>1</v>
      </c>
      <c r="K7" s="46">
        <v>0.53</v>
      </c>
      <c r="L7" s="46">
        <v>11.13</v>
      </c>
    </row>
    <row r="8" spans="1:12" x14ac:dyDescent="0.25">
      <c r="A8" s="47" t="str">
        <f t="shared" si="0"/>
        <v>BRCR11</v>
      </c>
      <c r="B8" s="92" t="s">
        <v>1662</v>
      </c>
      <c r="C8" s="47" t="str">
        <f t="shared" si="1"/>
        <v>DEZEMBRO</v>
      </c>
      <c r="D8" s="47">
        <f t="shared" si="2"/>
        <v>2020</v>
      </c>
      <c r="E8" s="60">
        <f>IFERROR(AVERAGEIFS(K:K,A:A,'TAB DIN PROVENTOS B3'!$L$3),"")</f>
        <v>1.2070588235294117</v>
      </c>
      <c r="F8" t="s">
        <v>2415</v>
      </c>
      <c r="G8" s="45" t="s">
        <v>2353</v>
      </c>
      <c r="H8" t="s">
        <v>2412</v>
      </c>
      <c r="I8" t="s">
        <v>2348</v>
      </c>
      <c r="J8" s="36">
        <v>1</v>
      </c>
      <c r="K8" s="46">
        <v>0.5</v>
      </c>
      <c r="L8" s="46">
        <v>4.49</v>
      </c>
    </row>
    <row r="9" spans="1:12" x14ac:dyDescent="0.25">
      <c r="A9" s="47" t="str">
        <f t="shared" si="0"/>
        <v>HGLG11</v>
      </c>
      <c r="B9" s="92" t="s">
        <v>1662</v>
      </c>
      <c r="C9" s="47" t="str">
        <f t="shared" si="1"/>
        <v>DEZEMBRO</v>
      </c>
      <c r="D9" s="47">
        <f t="shared" si="2"/>
        <v>2020</v>
      </c>
      <c r="E9" s="60">
        <f>IFERROR(AVERAGEIFS(K:K,A:A,'TAB DIN PROVENTOS B3'!$L$3),"")</f>
        <v>1.2070588235294117</v>
      </c>
      <c r="F9" t="s">
        <v>2416</v>
      </c>
      <c r="G9" s="45" t="s">
        <v>2353</v>
      </c>
      <c r="H9" t="s">
        <v>2412</v>
      </c>
      <c r="I9" t="s">
        <v>2348</v>
      </c>
      <c r="J9" s="36">
        <v>1</v>
      </c>
      <c r="K9" s="46">
        <v>0.78</v>
      </c>
      <c r="L9" s="46">
        <v>7.8</v>
      </c>
    </row>
    <row r="10" spans="1:12" x14ac:dyDescent="0.25">
      <c r="A10" s="47" t="str">
        <f t="shared" si="0"/>
        <v>HGRE11</v>
      </c>
      <c r="B10" s="92" t="s">
        <v>1662</v>
      </c>
      <c r="C10" s="47" t="str">
        <f t="shared" si="1"/>
        <v>DEZEMBRO</v>
      </c>
      <c r="D10" s="47">
        <f t="shared" si="2"/>
        <v>2020</v>
      </c>
      <c r="E10" s="60">
        <f>IFERROR(AVERAGEIFS(K:K,A:A,'TAB DIN PROVENTOS B3'!$L$3),"")</f>
        <v>1.2070588235294117</v>
      </c>
      <c r="F10" t="s">
        <v>2417</v>
      </c>
      <c r="G10" s="45" t="s">
        <v>2353</v>
      </c>
      <c r="H10" t="s">
        <v>2412</v>
      </c>
      <c r="I10" t="s">
        <v>2348</v>
      </c>
      <c r="J10" s="36">
        <v>1</v>
      </c>
      <c r="K10" s="46">
        <v>0.65</v>
      </c>
      <c r="L10" s="46">
        <v>5.2</v>
      </c>
    </row>
    <row r="11" spans="1:12" x14ac:dyDescent="0.25">
      <c r="A11" s="47" t="str">
        <f t="shared" si="0"/>
        <v>HGRU11</v>
      </c>
      <c r="B11" s="92" t="s">
        <v>1662</v>
      </c>
      <c r="C11" s="47" t="str">
        <f t="shared" si="1"/>
        <v>DEZEMBRO</v>
      </c>
      <c r="D11" s="47">
        <f t="shared" si="2"/>
        <v>2020</v>
      </c>
      <c r="E11" s="60">
        <f>IFERROR(AVERAGEIFS(K:K,A:A,'TAB DIN PROVENTOS B3'!$L$3),"")</f>
        <v>1.2070588235294117</v>
      </c>
      <c r="F11" t="s">
        <v>2418</v>
      </c>
      <c r="G11" s="45" t="s">
        <v>2353</v>
      </c>
      <c r="H11" t="s">
        <v>2412</v>
      </c>
      <c r="I11" t="s">
        <v>2348</v>
      </c>
      <c r="J11" s="36">
        <v>1</v>
      </c>
      <c r="K11" s="46">
        <v>0.68</v>
      </c>
      <c r="L11" s="46">
        <v>9.52</v>
      </c>
    </row>
    <row r="12" spans="1:12" x14ac:dyDescent="0.25">
      <c r="A12" s="47" t="str">
        <f t="shared" si="0"/>
        <v>KNRI11</v>
      </c>
      <c r="B12" s="92" t="s">
        <v>1662</v>
      </c>
      <c r="C12" s="47" t="str">
        <f t="shared" si="1"/>
        <v>DEZEMBRO</v>
      </c>
      <c r="D12" s="47">
        <f t="shared" si="2"/>
        <v>2020</v>
      </c>
      <c r="E12" s="60">
        <f>IFERROR(AVERAGEIFS(K:K,A:A,'TAB DIN PROVENTOS B3'!$L$3),"")</f>
        <v>1.2070588235294117</v>
      </c>
      <c r="F12" t="s">
        <v>2419</v>
      </c>
      <c r="G12" s="45" t="s">
        <v>2353</v>
      </c>
      <c r="H12" t="s">
        <v>2412</v>
      </c>
      <c r="I12" t="s">
        <v>2348</v>
      </c>
      <c r="J12" s="36">
        <v>1</v>
      </c>
      <c r="K12" s="46">
        <v>0.65</v>
      </c>
      <c r="L12" s="46">
        <v>6.5</v>
      </c>
    </row>
    <row r="13" spans="1:12" x14ac:dyDescent="0.25">
      <c r="A13" s="47" t="str">
        <f t="shared" si="0"/>
        <v>MXRF11</v>
      </c>
      <c r="B13" s="92" t="s">
        <v>1662</v>
      </c>
      <c r="C13" s="47" t="str">
        <f t="shared" si="1"/>
        <v>DEZEMBRO</v>
      </c>
      <c r="D13" s="47">
        <f t="shared" si="2"/>
        <v>2020</v>
      </c>
      <c r="E13" s="60">
        <f>IFERROR(AVERAGEIFS(K:K,A:A,'TAB DIN PROVENTOS B3'!$L$3),"")</f>
        <v>1.2070588235294117</v>
      </c>
      <c r="F13" t="s">
        <v>2420</v>
      </c>
      <c r="G13" s="45" t="s">
        <v>2353</v>
      </c>
      <c r="H13" t="s">
        <v>2412</v>
      </c>
      <c r="I13" t="s">
        <v>2348</v>
      </c>
      <c r="J13" s="36">
        <v>1</v>
      </c>
      <c r="K13" s="46">
        <v>0.06</v>
      </c>
      <c r="L13" s="46">
        <v>10.92</v>
      </c>
    </row>
    <row r="14" spans="1:12" x14ac:dyDescent="0.25">
      <c r="A14" s="47" t="str">
        <f t="shared" si="0"/>
        <v>VILG11</v>
      </c>
      <c r="B14" s="92" t="s">
        <v>1662</v>
      </c>
      <c r="C14" s="47" t="str">
        <f t="shared" si="1"/>
        <v>DEZEMBRO</v>
      </c>
      <c r="D14" s="47">
        <f t="shared" si="2"/>
        <v>2020</v>
      </c>
      <c r="E14" s="60">
        <f>IFERROR(AVERAGEIFS(K:K,A:A,'TAB DIN PROVENTOS B3'!$L$3),"")</f>
        <v>1.2070588235294117</v>
      </c>
      <c r="F14" t="s">
        <v>2421</v>
      </c>
      <c r="G14" s="45" t="s">
        <v>2353</v>
      </c>
      <c r="H14" t="s">
        <v>2412</v>
      </c>
      <c r="I14" t="s">
        <v>2348</v>
      </c>
      <c r="J14" s="36">
        <v>1</v>
      </c>
      <c r="K14" s="46">
        <v>0.6</v>
      </c>
      <c r="L14" s="46">
        <v>6</v>
      </c>
    </row>
    <row r="15" spans="1:12" x14ac:dyDescent="0.25">
      <c r="A15" s="47" t="str">
        <f t="shared" si="0"/>
        <v>VINO11</v>
      </c>
      <c r="B15" s="92" t="s">
        <v>1662</v>
      </c>
      <c r="C15" s="47" t="str">
        <f t="shared" si="1"/>
        <v>DEZEMBRO</v>
      </c>
      <c r="D15" s="47">
        <f t="shared" si="2"/>
        <v>2020</v>
      </c>
      <c r="E15" s="60">
        <f>IFERROR(AVERAGEIFS(K:K,A:A,'TAB DIN PROVENTOS B3'!$L$3),"")</f>
        <v>1.2070588235294117</v>
      </c>
      <c r="F15" t="s">
        <v>2422</v>
      </c>
      <c r="G15" s="45" t="s">
        <v>2353</v>
      </c>
      <c r="H15" t="s">
        <v>2412</v>
      </c>
      <c r="I15" t="s">
        <v>2348</v>
      </c>
      <c r="J15" s="36">
        <v>1</v>
      </c>
      <c r="K15" s="46">
        <v>0.35</v>
      </c>
      <c r="L15" s="46">
        <v>11.55</v>
      </c>
    </row>
    <row r="16" spans="1:12" x14ac:dyDescent="0.25">
      <c r="A16" s="47" t="str">
        <f t="shared" si="0"/>
        <v>XPLG11</v>
      </c>
      <c r="B16" s="92" t="s">
        <v>1662</v>
      </c>
      <c r="C16" s="47" t="str">
        <f t="shared" si="1"/>
        <v>DEZEMBRO</v>
      </c>
      <c r="D16" s="47">
        <f t="shared" si="2"/>
        <v>2020</v>
      </c>
      <c r="E16" s="60">
        <f>IFERROR(AVERAGEIFS(K:K,A:A,'TAB DIN PROVENTOS B3'!$L$3),"")</f>
        <v>1.2070588235294117</v>
      </c>
      <c r="F16" t="s">
        <v>2423</v>
      </c>
      <c r="G16" s="45" t="s">
        <v>2353</v>
      </c>
      <c r="H16" t="s">
        <v>2412</v>
      </c>
      <c r="I16" t="s">
        <v>2348</v>
      </c>
      <c r="J16" s="36">
        <v>1</v>
      </c>
      <c r="K16" s="46">
        <v>0.57999999999999996</v>
      </c>
      <c r="L16" s="46">
        <v>5.8</v>
      </c>
    </row>
    <row r="17" spans="1:12" x14ac:dyDescent="0.25">
      <c r="A17" s="47" t="str">
        <f t="shared" si="0"/>
        <v>LVBI11</v>
      </c>
      <c r="B17" s="92" t="s">
        <v>1662</v>
      </c>
      <c r="C17" s="47" t="str">
        <f t="shared" si="1"/>
        <v>DEZEMBRO</v>
      </c>
      <c r="D17" s="47">
        <f t="shared" si="2"/>
        <v>2020</v>
      </c>
      <c r="E17" s="60">
        <f>IFERROR(AVERAGEIFS(K:K,A:A,'TAB DIN PROVENTOS B3'!$L$3),"")</f>
        <v>1.2070588235294117</v>
      </c>
      <c r="F17" t="s">
        <v>2424</v>
      </c>
      <c r="G17" s="45" t="s">
        <v>2354</v>
      </c>
      <c r="H17" t="s">
        <v>2412</v>
      </c>
      <c r="I17" t="s">
        <v>2348</v>
      </c>
      <c r="J17" s="36">
        <v>1</v>
      </c>
      <c r="K17" s="46">
        <v>0.36</v>
      </c>
      <c r="L17" s="46">
        <v>3.6</v>
      </c>
    </row>
    <row r="18" spans="1:12" x14ac:dyDescent="0.25">
      <c r="A18" s="47" t="str">
        <f t="shared" si="0"/>
        <v>BBAS3</v>
      </c>
      <c r="B18" s="92" t="s">
        <v>2344</v>
      </c>
      <c r="C18" s="47" t="str">
        <f t="shared" si="1"/>
        <v>NOVEMBRO</v>
      </c>
      <c r="D18" s="47">
        <f t="shared" si="2"/>
        <v>2020</v>
      </c>
      <c r="E18" s="60">
        <f>IFERROR(AVERAGEIFS(K:K,A:A,'TAB DIN PROVENTOS B3'!$L$3),"")</f>
        <v>1.2070588235294117</v>
      </c>
      <c r="F18" t="s">
        <v>2425</v>
      </c>
      <c r="G18" s="45" t="s">
        <v>2355</v>
      </c>
      <c r="H18" t="s">
        <v>2349</v>
      </c>
      <c r="I18" t="s">
        <v>2348</v>
      </c>
      <c r="J18" s="36">
        <v>1</v>
      </c>
      <c r="K18" s="46">
        <v>0.19</v>
      </c>
      <c r="L18" s="46">
        <v>9.93</v>
      </c>
    </row>
    <row r="19" spans="1:12" x14ac:dyDescent="0.25">
      <c r="A19" s="47" t="str">
        <f t="shared" si="0"/>
        <v>BCFF11</v>
      </c>
      <c r="B19" s="92" t="s">
        <v>1662</v>
      </c>
      <c r="C19" s="47" t="str">
        <f t="shared" si="1"/>
        <v>NOVEMBRO</v>
      </c>
      <c r="D19" s="47">
        <f t="shared" si="2"/>
        <v>2020</v>
      </c>
      <c r="E19" s="60">
        <f>IFERROR(AVERAGEIFS(K:K,A:A,'TAB DIN PROVENTOS B3'!$L$3),"")</f>
        <v>1.2070588235294117</v>
      </c>
      <c r="F19" t="s">
        <v>2414</v>
      </c>
      <c r="G19" s="45" t="s">
        <v>2356</v>
      </c>
      <c r="H19" t="s">
        <v>2412</v>
      </c>
      <c r="I19" t="s">
        <v>2348</v>
      </c>
      <c r="J19" s="36">
        <v>1</v>
      </c>
      <c r="K19" s="46">
        <v>0.5</v>
      </c>
      <c r="L19" s="46">
        <v>5</v>
      </c>
    </row>
    <row r="20" spans="1:12" x14ac:dyDescent="0.25">
      <c r="A20" s="47" t="str">
        <f t="shared" si="0"/>
        <v>BRCR11</v>
      </c>
      <c r="B20" s="92" t="s">
        <v>1662</v>
      </c>
      <c r="C20" s="47" t="str">
        <f t="shared" si="1"/>
        <v>NOVEMBRO</v>
      </c>
      <c r="D20" s="47">
        <f t="shared" si="2"/>
        <v>2020</v>
      </c>
      <c r="E20" s="60">
        <f>IFERROR(AVERAGEIFS(K:K,A:A,'TAB DIN PROVENTOS B3'!$L$3),"")</f>
        <v>1.2070588235294117</v>
      </c>
      <c r="F20" t="s">
        <v>2415</v>
      </c>
      <c r="G20" s="45" t="s">
        <v>2356</v>
      </c>
      <c r="H20" t="s">
        <v>2412</v>
      </c>
      <c r="I20" t="s">
        <v>2348</v>
      </c>
      <c r="J20" s="36">
        <v>1</v>
      </c>
      <c r="K20" s="46">
        <v>0.47</v>
      </c>
      <c r="L20" s="46">
        <v>2.82</v>
      </c>
    </row>
    <row r="21" spans="1:12" x14ac:dyDescent="0.25">
      <c r="A21" s="47" t="str">
        <f t="shared" si="0"/>
        <v>HGLG11</v>
      </c>
      <c r="B21" s="92" t="s">
        <v>1662</v>
      </c>
      <c r="C21" s="47" t="str">
        <f t="shared" si="1"/>
        <v>NOVEMBRO</v>
      </c>
      <c r="D21" s="47">
        <f t="shared" si="2"/>
        <v>2020</v>
      </c>
      <c r="E21" s="60">
        <f>IFERROR(AVERAGEIFS(K:K,A:A,'TAB DIN PROVENTOS B3'!$L$3),"")</f>
        <v>1.2070588235294117</v>
      </c>
      <c r="F21" t="s">
        <v>2416</v>
      </c>
      <c r="G21" s="45" t="s">
        <v>2356</v>
      </c>
      <c r="H21" t="s">
        <v>2412</v>
      </c>
      <c r="I21" t="s">
        <v>2348</v>
      </c>
      <c r="J21" s="36">
        <v>1</v>
      </c>
      <c r="K21" s="46">
        <v>0.78</v>
      </c>
      <c r="L21" s="46">
        <v>7.8</v>
      </c>
    </row>
    <row r="22" spans="1:12" x14ac:dyDescent="0.25">
      <c r="A22" s="47" t="str">
        <f t="shared" si="0"/>
        <v>HGRE11</v>
      </c>
      <c r="B22" s="92" t="s">
        <v>1662</v>
      </c>
      <c r="C22" s="47" t="str">
        <f t="shared" si="1"/>
        <v>NOVEMBRO</v>
      </c>
      <c r="D22" s="47">
        <f t="shared" si="2"/>
        <v>2020</v>
      </c>
      <c r="E22" s="60">
        <f>IFERROR(AVERAGEIFS(K:K,A:A,'TAB DIN PROVENTOS B3'!$L$3),"")</f>
        <v>1.2070588235294117</v>
      </c>
      <c r="F22" t="s">
        <v>2417</v>
      </c>
      <c r="G22" s="45" t="s">
        <v>2356</v>
      </c>
      <c r="H22" t="s">
        <v>2412</v>
      </c>
      <c r="I22" t="s">
        <v>2348</v>
      </c>
      <c r="J22" s="36">
        <v>1</v>
      </c>
      <c r="K22" s="46">
        <v>0.65</v>
      </c>
      <c r="L22" s="46">
        <v>1.95</v>
      </c>
    </row>
    <row r="23" spans="1:12" x14ac:dyDescent="0.25">
      <c r="A23" s="47" t="str">
        <f t="shared" si="0"/>
        <v>HGRU11</v>
      </c>
      <c r="B23" s="92" t="s">
        <v>1662</v>
      </c>
      <c r="C23" s="47" t="str">
        <f t="shared" si="1"/>
        <v>NOVEMBRO</v>
      </c>
      <c r="D23" s="47">
        <f t="shared" si="2"/>
        <v>2020</v>
      </c>
      <c r="E23" s="60">
        <f>IFERROR(AVERAGEIFS(K:K,A:A,'TAB DIN PROVENTOS B3'!$L$3),"")</f>
        <v>1.2070588235294117</v>
      </c>
      <c r="F23" t="s">
        <v>2418</v>
      </c>
      <c r="G23" s="45" t="s">
        <v>2356</v>
      </c>
      <c r="H23" t="s">
        <v>2412</v>
      </c>
      <c r="I23" t="s">
        <v>2348</v>
      </c>
      <c r="J23" s="36">
        <v>1</v>
      </c>
      <c r="K23" s="46">
        <v>0.68</v>
      </c>
      <c r="L23" s="46">
        <v>2.04</v>
      </c>
    </row>
    <row r="24" spans="1:12" x14ac:dyDescent="0.25">
      <c r="A24" s="47" t="str">
        <f t="shared" si="0"/>
        <v>KNRI11</v>
      </c>
      <c r="B24" s="92" t="s">
        <v>1662</v>
      </c>
      <c r="C24" s="47" t="str">
        <f t="shared" si="1"/>
        <v>NOVEMBRO</v>
      </c>
      <c r="D24" s="47">
        <f t="shared" si="2"/>
        <v>2020</v>
      </c>
      <c r="E24" s="60">
        <f>IFERROR(AVERAGEIFS(K:K,A:A,'TAB DIN PROVENTOS B3'!$L$3),"")</f>
        <v>1.2070588235294117</v>
      </c>
      <c r="F24" t="s">
        <v>2419</v>
      </c>
      <c r="G24" s="45" t="s">
        <v>2356</v>
      </c>
      <c r="H24" t="s">
        <v>2412</v>
      </c>
      <c r="I24" t="s">
        <v>2348</v>
      </c>
      <c r="J24" s="36">
        <v>1</v>
      </c>
      <c r="K24" s="46">
        <v>0.65</v>
      </c>
      <c r="L24" s="46">
        <v>6.5</v>
      </c>
    </row>
    <row r="25" spans="1:12" x14ac:dyDescent="0.25">
      <c r="A25" s="47" t="str">
        <f t="shared" si="0"/>
        <v>RBVA11</v>
      </c>
      <c r="B25" s="92" t="s">
        <v>1662</v>
      </c>
      <c r="C25" s="47" t="str">
        <f t="shared" si="1"/>
        <v>NOVEMBRO</v>
      </c>
      <c r="D25" s="47">
        <f t="shared" si="2"/>
        <v>2020</v>
      </c>
      <c r="E25" s="60">
        <f>IFERROR(AVERAGEIFS(K:K,A:A,'TAB DIN PROVENTOS B3'!$L$3),"")</f>
        <v>1.2070588235294117</v>
      </c>
      <c r="F25" t="s">
        <v>2413</v>
      </c>
      <c r="G25" s="45" t="s">
        <v>2357</v>
      </c>
      <c r="H25" t="s">
        <v>2412</v>
      </c>
      <c r="I25" t="s">
        <v>2348</v>
      </c>
      <c r="J25" s="36">
        <v>1</v>
      </c>
      <c r="K25" s="46">
        <v>0.85</v>
      </c>
      <c r="L25" s="46">
        <v>4.25</v>
      </c>
    </row>
    <row r="26" spans="1:12" x14ac:dyDescent="0.25">
      <c r="A26" s="47" t="str">
        <f t="shared" si="0"/>
        <v>TRPL4</v>
      </c>
      <c r="B26" s="92" t="s">
        <v>2344</v>
      </c>
      <c r="C26" s="47" t="str">
        <f t="shared" si="1"/>
        <v>NOVEMBRO</v>
      </c>
      <c r="D26" s="47">
        <f t="shared" si="2"/>
        <v>2020</v>
      </c>
      <c r="E26" s="60">
        <f>IFERROR(AVERAGEIFS(K:K,A:A,'TAB DIN PROVENTOS B3'!$L$3),"")</f>
        <v>1.2070588235294117</v>
      </c>
      <c r="F26" t="s">
        <v>2426</v>
      </c>
      <c r="G26" s="45" t="s">
        <v>2357</v>
      </c>
      <c r="H26" t="s">
        <v>2350</v>
      </c>
      <c r="I26" t="s">
        <v>2348</v>
      </c>
      <c r="J26" s="36">
        <v>1</v>
      </c>
      <c r="K26" s="46">
        <v>0.52</v>
      </c>
      <c r="L26" s="46">
        <v>78.31</v>
      </c>
    </row>
    <row r="27" spans="1:12" x14ac:dyDescent="0.25">
      <c r="A27" s="47" t="str">
        <f t="shared" si="0"/>
        <v>XPLG11</v>
      </c>
      <c r="B27" s="92" t="s">
        <v>1662</v>
      </c>
      <c r="C27" s="47" t="str">
        <f t="shared" si="1"/>
        <v>NOVEMBRO</v>
      </c>
      <c r="D27" s="47">
        <f t="shared" si="2"/>
        <v>2020</v>
      </c>
      <c r="E27" s="60">
        <f>IFERROR(AVERAGEIFS(K:K,A:A,'TAB DIN PROVENTOS B3'!$L$3),"")</f>
        <v>1.2070588235294117</v>
      </c>
      <c r="F27" t="s">
        <v>2423</v>
      </c>
      <c r="G27" s="45" t="s">
        <v>2357</v>
      </c>
      <c r="H27" t="s">
        <v>2412</v>
      </c>
      <c r="I27" t="s">
        <v>2348</v>
      </c>
      <c r="J27" s="36">
        <v>1</v>
      </c>
      <c r="K27" s="46">
        <v>0.57999999999999996</v>
      </c>
      <c r="L27" s="46">
        <v>5.8</v>
      </c>
    </row>
    <row r="28" spans="1:12" x14ac:dyDescent="0.25">
      <c r="A28" s="47" t="str">
        <f t="shared" si="0"/>
        <v>LVBI11</v>
      </c>
      <c r="B28" s="92" t="s">
        <v>1662</v>
      </c>
      <c r="C28" s="47" t="str">
        <f t="shared" si="1"/>
        <v>NOVEMBRO</v>
      </c>
      <c r="D28" s="47">
        <f t="shared" si="2"/>
        <v>2020</v>
      </c>
      <c r="E28" s="60">
        <f>IFERROR(AVERAGEIFS(K:K,A:A,'TAB DIN PROVENTOS B3'!$L$3),"")</f>
        <v>1.2070588235294117</v>
      </c>
      <c r="F28" t="s">
        <v>2424</v>
      </c>
      <c r="G28" s="45" t="s">
        <v>2358</v>
      </c>
      <c r="H28" t="s">
        <v>2412</v>
      </c>
      <c r="I28" t="s">
        <v>2348</v>
      </c>
      <c r="J28" s="36">
        <v>1</v>
      </c>
      <c r="K28" s="46">
        <v>0.31</v>
      </c>
      <c r="L28" s="46">
        <v>3.1</v>
      </c>
    </row>
    <row r="29" spans="1:12" x14ac:dyDescent="0.25">
      <c r="A29" s="47" t="str">
        <f t="shared" si="0"/>
        <v>KNRI11</v>
      </c>
      <c r="B29" s="92" t="s">
        <v>1662</v>
      </c>
      <c r="C29" s="47" t="str">
        <f t="shared" si="1"/>
        <v>OUTUBRO</v>
      </c>
      <c r="D29" s="47">
        <f t="shared" si="2"/>
        <v>2020</v>
      </c>
      <c r="E29" s="60">
        <f>IFERROR(AVERAGEIFS(K:K,A:A,'TAB DIN PROVENTOS B3'!$L$3),"")</f>
        <v>1.2070588235294117</v>
      </c>
      <c r="F29" t="s">
        <v>2419</v>
      </c>
      <c r="G29" s="45" t="s">
        <v>2359</v>
      </c>
      <c r="H29" t="s">
        <v>2412</v>
      </c>
      <c r="I29" t="s">
        <v>2348</v>
      </c>
      <c r="J29" s="36">
        <v>1</v>
      </c>
      <c r="K29" s="46">
        <v>0.65</v>
      </c>
      <c r="L29" s="46">
        <v>6.5</v>
      </c>
    </row>
    <row r="30" spans="1:12" x14ac:dyDescent="0.25">
      <c r="A30" s="47" t="str">
        <f t="shared" si="0"/>
        <v>LVBI11</v>
      </c>
      <c r="B30" s="92" t="s">
        <v>1662</v>
      </c>
      <c r="C30" s="47" t="str">
        <f t="shared" si="1"/>
        <v>OUTUBRO</v>
      </c>
      <c r="D30" s="47">
        <f t="shared" si="2"/>
        <v>2020</v>
      </c>
      <c r="E30" s="60">
        <f>IFERROR(AVERAGEIFS(K:K,A:A,'TAB DIN PROVENTOS B3'!$L$3),"")</f>
        <v>1.2070588235294117</v>
      </c>
      <c r="F30" t="s">
        <v>2424</v>
      </c>
      <c r="G30" s="45" t="s">
        <v>2360</v>
      </c>
      <c r="H30" t="s">
        <v>2412</v>
      </c>
      <c r="I30" t="s">
        <v>2348</v>
      </c>
      <c r="J30" s="36">
        <v>1</v>
      </c>
      <c r="K30" s="46">
        <v>0.66</v>
      </c>
      <c r="L30" s="46">
        <v>6.6</v>
      </c>
    </row>
    <row r="31" spans="1:12" x14ac:dyDescent="0.25">
      <c r="A31" s="47" t="str">
        <f t="shared" si="0"/>
        <v>BBAS3</v>
      </c>
      <c r="B31" s="92" t="s">
        <v>2344</v>
      </c>
      <c r="C31" s="47" t="str">
        <f t="shared" si="1"/>
        <v>SETEMBRO</v>
      </c>
      <c r="D31" s="47">
        <f t="shared" si="2"/>
        <v>2020</v>
      </c>
      <c r="E31" s="60">
        <f>IFERROR(AVERAGEIFS(K:K,A:A,'TAB DIN PROVENTOS B3'!$L$3),"")</f>
        <v>1.2070588235294117</v>
      </c>
      <c r="F31" t="s">
        <v>2425</v>
      </c>
      <c r="G31" s="45" t="s">
        <v>2361</v>
      </c>
      <c r="H31" t="s">
        <v>2349</v>
      </c>
      <c r="I31" t="s">
        <v>2348</v>
      </c>
      <c r="J31" s="36">
        <v>1</v>
      </c>
      <c r="K31" s="46">
        <v>0.1</v>
      </c>
      <c r="L31" s="46">
        <v>1.75</v>
      </c>
    </row>
    <row r="32" spans="1:12" x14ac:dyDescent="0.25">
      <c r="A32" s="47" t="str">
        <f t="shared" si="0"/>
        <v>SANB4</v>
      </c>
      <c r="B32" s="92" t="s">
        <v>2344</v>
      </c>
      <c r="C32" s="47" t="str">
        <f t="shared" si="1"/>
        <v>SETEMBRO</v>
      </c>
      <c r="D32" s="47">
        <f t="shared" si="2"/>
        <v>2020</v>
      </c>
      <c r="E32" s="60">
        <f>IFERROR(AVERAGEIFS(K:K,A:A,'TAB DIN PROVENTOS B3'!$L$3),"")</f>
        <v>1.2070588235294117</v>
      </c>
      <c r="F32" t="s">
        <v>2410</v>
      </c>
      <c r="G32" s="45" t="s">
        <v>2362</v>
      </c>
      <c r="H32" t="s">
        <v>2349</v>
      </c>
      <c r="I32" t="s">
        <v>2348</v>
      </c>
      <c r="J32" s="36">
        <v>1</v>
      </c>
      <c r="K32" s="46">
        <v>0.11</v>
      </c>
      <c r="L32" s="46">
        <v>9.1999999999999993</v>
      </c>
    </row>
    <row r="33" spans="1:12" x14ac:dyDescent="0.25">
      <c r="A33" s="47" t="str">
        <f t="shared" si="0"/>
        <v>KNRI11</v>
      </c>
      <c r="B33" s="92" t="s">
        <v>1662</v>
      </c>
      <c r="C33" s="47" t="str">
        <f t="shared" si="1"/>
        <v>SETEMBRO</v>
      </c>
      <c r="D33" s="47">
        <f t="shared" si="2"/>
        <v>2020</v>
      </c>
      <c r="E33" s="60">
        <f>IFERROR(AVERAGEIFS(K:K,A:A,'TAB DIN PROVENTOS B3'!$L$3),"")</f>
        <v>1.2070588235294117</v>
      </c>
      <c r="F33" t="s">
        <v>2419</v>
      </c>
      <c r="G33" s="45" t="s">
        <v>2363</v>
      </c>
      <c r="H33" t="s">
        <v>2412</v>
      </c>
      <c r="I33" t="s">
        <v>2348</v>
      </c>
      <c r="J33" s="36">
        <v>1</v>
      </c>
      <c r="K33" s="46">
        <v>0.65</v>
      </c>
      <c r="L33" s="46">
        <v>6.5</v>
      </c>
    </row>
    <row r="34" spans="1:12" x14ac:dyDescent="0.25">
      <c r="A34" s="47" t="str">
        <f t="shared" si="0"/>
        <v>MXRF11</v>
      </c>
      <c r="B34" s="92" t="s">
        <v>1662</v>
      </c>
      <c r="C34" s="47" t="str">
        <f t="shared" si="1"/>
        <v>SETEMBRO</v>
      </c>
      <c r="D34" s="47">
        <f t="shared" si="2"/>
        <v>2020</v>
      </c>
      <c r="E34" s="60">
        <f>IFERROR(AVERAGEIFS(K:K,A:A,'TAB DIN PROVENTOS B3'!$L$3),"")</f>
        <v>1.2070588235294117</v>
      </c>
      <c r="F34" t="s">
        <v>2420</v>
      </c>
      <c r="G34" s="45" t="s">
        <v>2363</v>
      </c>
      <c r="H34" t="s">
        <v>2412</v>
      </c>
      <c r="I34" t="s">
        <v>2348</v>
      </c>
      <c r="J34" s="36">
        <v>1</v>
      </c>
      <c r="K34" s="46">
        <v>7.0000000000000007E-2</v>
      </c>
      <c r="L34" s="46">
        <v>7.07</v>
      </c>
    </row>
    <row r="35" spans="1:12" x14ac:dyDescent="0.25">
      <c r="A35" s="47" t="str">
        <f t="shared" si="0"/>
        <v>VINO11</v>
      </c>
      <c r="B35" s="92" t="s">
        <v>1662</v>
      </c>
      <c r="C35" s="47" t="str">
        <f t="shared" si="1"/>
        <v>SETEMBRO</v>
      </c>
      <c r="D35" s="47">
        <f t="shared" si="2"/>
        <v>2020</v>
      </c>
      <c r="E35" s="60">
        <f>IFERROR(AVERAGEIFS(K:K,A:A,'TAB DIN PROVENTOS B3'!$L$3),"")</f>
        <v>1.2070588235294117</v>
      </c>
      <c r="F35" t="s">
        <v>2422</v>
      </c>
      <c r="G35" s="45" t="s">
        <v>2363</v>
      </c>
      <c r="H35" t="s">
        <v>2412</v>
      </c>
      <c r="I35" t="s">
        <v>2348</v>
      </c>
      <c r="J35" s="36">
        <v>1</v>
      </c>
      <c r="K35" s="46">
        <v>0.35</v>
      </c>
      <c r="L35" s="46">
        <v>4.2</v>
      </c>
    </row>
    <row r="36" spans="1:12" x14ac:dyDescent="0.25">
      <c r="A36" s="47" t="str">
        <f t="shared" si="0"/>
        <v>BBAS3</v>
      </c>
      <c r="B36" s="92" t="s">
        <v>2344</v>
      </c>
      <c r="C36" s="47" t="str">
        <f t="shared" si="1"/>
        <v>AGOSTO</v>
      </c>
      <c r="D36" s="47">
        <f t="shared" si="2"/>
        <v>2020</v>
      </c>
      <c r="E36" s="60">
        <f>IFERROR(AVERAGEIFS(K:K,A:A,'TAB DIN PROVENTOS B3'!$L$3),"")</f>
        <v>1.2070588235294117</v>
      </c>
      <c r="F36" t="s">
        <v>2425</v>
      </c>
      <c r="G36" s="45" t="s">
        <v>2364</v>
      </c>
      <c r="H36" t="s">
        <v>2412</v>
      </c>
      <c r="I36" t="s">
        <v>2348</v>
      </c>
      <c r="J36" s="36">
        <v>1</v>
      </c>
      <c r="K36" s="46">
        <v>0</v>
      </c>
      <c r="L36" s="46">
        <v>0.03</v>
      </c>
    </row>
    <row r="37" spans="1:12" x14ac:dyDescent="0.25">
      <c r="A37" s="47" t="str">
        <f t="shared" si="0"/>
        <v>BBAS3</v>
      </c>
      <c r="B37" s="92" t="s">
        <v>2344</v>
      </c>
      <c r="C37" s="47" t="str">
        <f t="shared" si="1"/>
        <v>AGOSTO</v>
      </c>
      <c r="D37" s="47">
        <f t="shared" si="2"/>
        <v>2020</v>
      </c>
      <c r="E37" s="60">
        <f>IFERROR(AVERAGEIFS(K:K,A:A,'TAB DIN PROVENTOS B3'!$L$3),"")</f>
        <v>1.2070588235294117</v>
      </c>
      <c r="F37" t="s">
        <v>2425</v>
      </c>
      <c r="G37" s="45" t="s">
        <v>2364</v>
      </c>
      <c r="H37" t="s">
        <v>2349</v>
      </c>
      <c r="I37" t="s">
        <v>2348</v>
      </c>
      <c r="J37" s="36">
        <v>1</v>
      </c>
      <c r="K37" s="46">
        <v>0.44</v>
      </c>
      <c r="L37" s="46">
        <v>7.49</v>
      </c>
    </row>
    <row r="38" spans="1:12" x14ac:dyDescent="0.25">
      <c r="A38" s="47" t="str">
        <f t="shared" si="0"/>
        <v>TAEE4</v>
      </c>
      <c r="B38" s="92" t="s">
        <v>2344</v>
      </c>
      <c r="C38" s="47" t="str">
        <f t="shared" si="1"/>
        <v>AGOSTO</v>
      </c>
      <c r="D38" s="47">
        <f t="shared" si="2"/>
        <v>2020</v>
      </c>
      <c r="E38" s="60">
        <f>IFERROR(AVERAGEIFS(K:K,A:A,'TAB DIN PROVENTOS B3'!$L$3),"")</f>
        <v>1.2070588235294117</v>
      </c>
      <c r="F38" t="s">
        <v>2409</v>
      </c>
      <c r="G38" s="45" t="s">
        <v>2365</v>
      </c>
      <c r="H38" t="s">
        <v>2350</v>
      </c>
      <c r="I38" t="s">
        <v>2348</v>
      </c>
      <c r="J38" s="36">
        <v>1</v>
      </c>
      <c r="K38" s="46">
        <v>0.21</v>
      </c>
      <c r="L38" s="46">
        <v>64.010000000000005</v>
      </c>
    </row>
    <row r="39" spans="1:12" x14ac:dyDescent="0.25">
      <c r="A39" s="47" t="str">
        <f t="shared" si="0"/>
        <v>HGLG11</v>
      </c>
      <c r="B39" s="92" t="s">
        <v>1662</v>
      </c>
      <c r="C39" s="47" t="str">
        <f t="shared" si="1"/>
        <v>AGOSTO</v>
      </c>
      <c r="D39" s="47">
        <f t="shared" si="2"/>
        <v>2020</v>
      </c>
      <c r="E39" s="60">
        <f>IFERROR(AVERAGEIFS(K:K,A:A,'TAB DIN PROVENTOS B3'!$L$3),"")</f>
        <v>1.2070588235294117</v>
      </c>
      <c r="F39" t="s">
        <v>2416</v>
      </c>
      <c r="G39" s="45" t="s">
        <v>2366</v>
      </c>
      <c r="H39" t="s">
        <v>2412</v>
      </c>
      <c r="I39" t="s">
        <v>2348</v>
      </c>
      <c r="J39" s="36">
        <v>1</v>
      </c>
      <c r="K39" s="46">
        <v>0.78</v>
      </c>
      <c r="L39" s="46">
        <v>7.8</v>
      </c>
    </row>
    <row r="40" spans="1:12" x14ac:dyDescent="0.25">
      <c r="A40" s="47" t="str">
        <f t="shared" si="0"/>
        <v>VINO11</v>
      </c>
      <c r="B40" s="92" t="s">
        <v>1662</v>
      </c>
      <c r="C40" s="47" t="str">
        <f t="shared" si="1"/>
        <v>AGOSTO</v>
      </c>
      <c r="D40" s="47">
        <f t="shared" si="2"/>
        <v>2020</v>
      </c>
      <c r="E40" s="60">
        <f>IFERROR(AVERAGEIFS(K:K,A:A,'TAB DIN PROVENTOS B3'!$L$3),"")</f>
        <v>1.2070588235294117</v>
      </c>
      <c r="F40" t="s">
        <v>2422</v>
      </c>
      <c r="G40" s="45" t="s">
        <v>2366</v>
      </c>
      <c r="H40" t="s">
        <v>2412</v>
      </c>
      <c r="I40" t="s">
        <v>2348</v>
      </c>
      <c r="J40" s="36">
        <v>1</v>
      </c>
      <c r="K40" s="46">
        <v>0.36</v>
      </c>
      <c r="L40" s="46">
        <v>4.32</v>
      </c>
    </row>
    <row r="41" spans="1:12" x14ac:dyDescent="0.25">
      <c r="A41" s="47" t="str">
        <f t="shared" ref="A41:A90" si="3">MID(F41,1,SEARCH(" ",F41)-1)</f>
        <v>XPML11</v>
      </c>
      <c r="B41" s="92" t="s">
        <v>1662</v>
      </c>
      <c r="C41" s="47" t="str">
        <f t="shared" si="1"/>
        <v>JULHO</v>
      </c>
      <c r="D41" s="47">
        <f t="shared" si="2"/>
        <v>2020</v>
      </c>
      <c r="E41" s="60">
        <f>IFERROR(AVERAGEIFS(K:K,A:A,'TAB DIN PROVENTOS B3'!$L$3),"")</f>
        <v>1.2070588235294117</v>
      </c>
      <c r="F41" t="s">
        <v>2411</v>
      </c>
      <c r="G41" s="45" t="s">
        <v>2367</v>
      </c>
      <c r="H41" t="s">
        <v>2412</v>
      </c>
      <c r="I41" t="s">
        <v>2348</v>
      </c>
      <c r="J41" s="36">
        <v>1</v>
      </c>
      <c r="K41" s="46">
        <v>0.42</v>
      </c>
      <c r="L41" s="46">
        <v>0.83</v>
      </c>
    </row>
    <row r="42" spans="1:12" x14ac:dyDescent="0.25">
      <c r="A42" s="47" t="str">
        <f t="shared" si="3"/>
        <v>TRPL4</v>
      </c>
      <c r="B42" s="92" t="s">
        <v>2344</v>
      </c>
      <c r="C42" s="47" t="str">
        <f t="shared" ref="C42:C91" si="4">UPPER(TEXT(G42,"MMMM"))</f>
        <v>JULHO</v>
      </c>
      <c r="D42" s="47">
        <f t="shared" ref="D42:D91" si="5">YEAR(G42)</f>
        <v>2020</v>
      </c>
      <c r="E42" s="60">
        <f>IFERROR(AVERAGEIFS(K:K,A:A,'TAB DIN PROVENTOS B3'!$L$3),"")</f>
        <v>1.2070588235294117</v>
      </c>
      <c r="F42" t="s">
        <v>2426</v>
      </c>
      <c r="G42" s="45" t="s">
        <v>2368</v>
      </c>
      <c r="H42" t="s">
        <v>2350</v>
      </c>
      <c r="I42" t="s">
        <v>2348</v>
      </c>
      <c r="J42" s="36">
        <v>1</v>
      </c>
      <c r="K42" s="46">
        <v>0.15</v>
      </c>
      <c r="L42" s="46">
        <v>15.17</v>
      </c>
    </row>
    <row r="43" spans="1:12" x14ac:dyDescent="0.25">
      <c r="A43" s="47" t="str">
        <f t="shared" si="3"/>
        <v>BCFF11</v>
      </c>
      <c r="B43" s="92" t="s">
        <v>1662</v>
      </c>
      <c r="C43" s="47" t="str">
        <f t="shared" si="4"/>
        <v>JULHO</v>
      </c>
      <c r="D43" s="47">
        <f t="shared" si="5"/>
        <v>2020</v>
      </c>
      <c r="E43" s="60">
        <f>IFERROR(AVERAGEIFS(K:K,A:A,'TAB DIN PROVENTOS B3'!$L$3),"")</f>
        <v>1.2070588235294117</v>
      </c>
      <c r="F43" t="s">
        <v>2414</v>
      </c>
      <c r="G43" s="45" t="s">
        <v>2369</v>
      </c>
      <c r="H43" t="s">
        <v>2412</v>
      </c>
      <c r="I43" t="s">
        <v>2348</v>
      </c>
      <c r="J43" s="36">
        <v>1</v>
      </c>
      <c r="K43" s="46">
        <v>0.4</v>
      </c>
      <c r="L43" s="46">
        <v>1.2</v>
      </c>
    </row>
    <row r="44" spans="1:12" x14ac:dyDescent="0.25">
      <c r="A44" s="47" t="str">
        <f t="shared" si="3"/>
        <v>VILG11</v>
      </c>
      <c r="B44" s="92" t="s">
        <v>1662</v>
      </c>
      <c r="C44" s="47" t="str">
        <f t="shared" si="4"/>
        <v>JULHO</v>
      </c>
      <c r="D44" s="47">
        <f t="shared" si="5"/>
        <v>2020</v>
      </c>
      <c r="E44" s="60">
        <f>IFERROR(AVERAGEIFS(K:K,A:A,'TAB DIN PROVENTOS B3'!$L$3),"")</f>
        <v>1.2070588235294117</v>
      </c>
      <c r="F44" t="s">
        <v>2421</v>
      </c>
      <c r="G44" s="45" t="s">
        <v>2369</v>
      </c>
      <c r="H44" t="s">
        <v>2412</v>
      </c>
      <c r="I44" t="s">
        <v>2348</v>
      </c>
      <c r="J44" s="36">
        <v>1</v>
      </c>
      <c r="K44" s="46">
        <v>0.6</v>
      </c>
      <c r="L44" s="46">
        <v>2.4</v>
      </c>
    </row>
    <row r="45" spans="1:12" x14ac:dyDescent="0.25">
      <c r="A45" s="47" t="str">
        <f t="shared" si="3"/>
        <v>XPML11</v>
      </c>
      <c r="B45" s="92" t="s">
        <v>1662</v>
      </c>
      <c r="C45" s="47" t="str">
        <f t="shared" si="4"/>
        <v>JUNHO</v>
      </c>
      <c r="D45" s="47">
        <f t="shared" si="5"/>
        <v>2020</v>
      </c>
      <c r="E45" s="60">
        <f>IFERROR(AVERAGEIFS(K:K,A:A,'TAB DIN PROVENTOS B3'!$L$3),"")</f>
        <v>1.2070588235294117</v>
      </c>
      <c r="F45" t="s">
        <v>2411</v>
      </c>
      <c r="G45" s="45" t="s">
        <v>2319</v>
      </c>
      <c r="H45" t="s">
        <v>2412</v>
      </c>
      <c r="I45" t="s">
        <v>2348</v>
      </c>
      <c r="J45" s="36">
        <v>1</v>
      </c>
      <c r="K45" s="46">
        <v>0.27</v>
      </c>
      <c r="L45" s="46">
        <v>0.54</v>
      </c>
    </row>
    <row r="46" spans="1:12" x14ac:dyDescent="0.25">
      <c r="A46" s="47" t="str">
        <f t="shared" si="3"/>
        <v>VILG11</v>
      </c>
      <c r="B46" s="92" t="s">
        <v>1662</v>
      </c>
      <c r="C46" s="47" t="str">
        <f t="shared" si="4"/>
        <v>JUNHO</v>
      </c>
      <c r="D46" s="47">
        <f t="shared" si="5"/>
        <v>2020</v>
      </c>
      <c r="E46" s="60">
        <f>IFERROR(AVERAGEIFS(K:K,A:A,'TAB DIN PROVENTOS B3'!$L$3),"")</f>
        <v>1.2070588235294117</v>
      </c>
      <c r="F46" t="s">
        <v>2421</v>
      </c>
      <c r="G46" s="45" t="s">
        <v>2370</v>
      </c>
      <c r="H46" t="s">
        <v>2412</v>
      </c>
      <c r="I46" t="s">
        <v>2348</v>
      </c>
      <c r="J46" s="36">
        <v>1</v>
      </c>
      <c r="K46" s="46">
        <v>0.52</v>
      </c>
      <c r="L46" s="46">
        <v>1.04</v>
      </c>
    </row>
    <row r="47" spans="1:12" x14ac:dyDescent="0.25">
      <c r="A47" s="47" t="str">
        <f t="shared" si="3"/>
        <v>XPLG11</v>
      </c>
      <c r="B47" s="92" t="s">
        <v>1662</v>
      </c>
      <c r="C47" s="47" t="str">
        <f t="shared" si="4"/>
        <v>ABRIL</v>
      </c>
      <c r="D47" s="47">
        <f t="shared" si="5"/>
        <v>2020</v>
      </c>
      <c r="E47" s="60">
        <f>IFERROR(AVERAGEIFS(K:K,A:A,'TAB DIN PROVENTOS B3'!$L$3),"")</f>
        <v>1.2070588235294117</v>
      </c>
      <c r="F47" t="s">
        <v>2423</v>
      </c>
      <c r="G47" s="45" t="s">
        <v>2371</v>
      </c>
      <c r="H47" t="s">
        <v>2412</v>
      </c>
      <c r="I47" t="s">
        <v>2348</v>
      </c>
      <c r="J47" s="36">
        <v>1</v>
      </c>
      <c r="K47" s="46">
        <v>0.57999999999999996</v>
      </c>
      <c r="L47" s="46">
        <v>1.1599999999999999</v>
      </c>
    </row>
    <row r="48" spans="1:12" x14ac:dyDescent="0.25">
      <c r="A48" s="47" t="str">
        <f t="shared" si="3"/>
        <v>XPLG11</v>
      </c>
      <c r="B48" s="92" t="s">
        <v>1662</v>
      </c>
      <c r="C48" s="47" t="str">
        <f t="shared" si="4"/>
        <v>ABRIL</v>
      </c>
      <c r="D48" s="47">
        <f t="shared" si="5"/>
        <v>2020</v>
      </c>
      <c r="E48" s="60">
        <f>IFERROR(AVERAGEIFS(K:K,A:A,'TAB DIN PROVENTOS B3'!$L$3),"")</f>
        <v>1.2070588235294117</v>
      </c>
      <c r="F48" t="s">
        <v>2423</v>
      </c>
      <c r="G48" s="45" t="s">
        <v>2371</v>
      </c>
      <c r="H48" t="s">
        <v>2412</v>
      </c>
      <c r="I48" t="s">
        <v>2348</v>
      </c>
      <c r="J48" s="36">
        <v>1</v>
      </c>
      <c r="K48" s="46">
        <v>0.57999999999999996</v>
      </c>
      <c r="L48" s="46">
        <v>0.57999999999999996</v>
      </c>
    </row>
    <row r="49" spans="1:12" x14ac:dyDescent="0.25">
      <c r="A49" s="47" t="str">
        <f t="shared" si="3"/>
        <v>XPLG11</v>
      </c>
      <c r="B49" s="92" t="s">
        <v>1662</v>
      </c>
      <c r="C49" s="47" t="str">
        <f t="shared" si="4"/>
        <v>MARÇO</v>
      </c>
      <c r="D49" s="47">
        <f t="shared" si="5"/>
        <v>2020</v>
      </c>
      <c r="E49" s="60">
        <f>IFERROR(AVERAGEIFS(K:K,A:A,'TAB DIN PROVENTOS B3'!$L$3),"")</f>
        <v>1.2070588235294117</v>
      </c>
      <c r="F49" t="s">
        <v>2423</v>
      </c>
      <c r="G49" s="45" t="s">
        <v>2372</v>
      </c>
      <c r="H49" t="s">
        <v>2412</v>
      </c>
      <c r="I49" t="s">
        <v>2348</v>
      </c>
      <c r="J49" s="36">
        <v>1</v>
      </c>
      <c r="K49" s="46">
        <v>0.64</v>
      </c>
      <c r="L49" s="46">
        <v>1.28</v>
      </c>
    </row>
    <row r="50" spans="1:12" x14ac:dyDescent="0.25">
      <c r="A50" s="47" t="str">
        <f t="shared" si="3"/>
        <v>XPLG11</v>
      </c>
      <c r="B50" s="92" t="s">
        <v>1662</v>
      </c>
      <c r="C50" s="47" t="str">
        <f t="shared" si="4"/>
        <v>MARÇO</v>
      </c>
      <c r="D50" s="47">
        <f t="shared" si="5"/>
        <v>2020</v>
      </c>
      <c r="E50" s="60">
        <f>IFERROR(AVERAGEIFS(K:K,A:A,'TAB DIN PROVENTOS B3'!$L$3),"")</f>
        <v>1.2070588235294117</v>
      </c>
      <c r="F50" t="s">
        <v>2423</v>
      </c>
      <c r="G50" s="45" t="s">
        <v>2372</v>
      </c>
      <c r="H50" t="s">
        <v>2412</v>
      </c>
      <c r="I50" t="s">
        <v>2348</v>
      </c>
      <c r="J50" s="36">
        <v>1</v>
      </c>
      <c r="K50" s="46">
        <v>0.64</v>
      </c>
      <c r="L50" s="46">
        <v>0.64</v>
      </c>
    </row>
    <row r="51" spans="1:12" x14ac:dyDescent="0.25">
      <c r="A51" s="47" t="str">
        <f t="shared" si="3"/>
        <v>LVBI11</v>
      </c>
      <c r="B51" s="92" t="s">
        <v>1662</v>
      </c>
      <c r="C51" s="47" t="str">
        <f t="shared" si="4"/>
        <v>MARÇO</v>
      </c>
      <c r="D51" s="47">
        <f t="shared" si="5"/>
        <v>2020</v>
      </c>
      <c r="E51" s="60">
        <f>IFERROR(AVERAGEIFS(K:K,A:A,'TAB DIN PROVENTOS B3'!$L$3),"")</f>
        <v>1.2070588235294117</v>
      </c>
      <c r="F51" t="s">
        <v>2424</v>
      </c>
      <c r="G51" s="45" t="s">
        <v>2373</v>
      </c>
      <c r="H51" t="s">
        <v>2412</v>
      </c>
      <c r="I51" t="s">
        <v>2348</v>
      </c>
      <c r="J51" s="36">
        <v>1</v>
      </c>
      <c r="K51" s="46">
        <v>0.64</v>
      </c>
      <c r="L51" s="46">
        <v>0.64</v>
      </c>
    </row>
    <row r="52" spans="1:12" x14ac:dyDescent="0.25">
      <c r="A52" s="47" t="str">
        <f t="shared" si="3"/>
        <v>XPML11</v>
      </c>
      <c r="B52" s="92" t="s">
        <v>1662</v>
      </c>
      <c r="C52" s="47" t="str">
        <f t="shared" si="4"/>
        <v>FEVEREIRO</v>
      </c>
      <c r="D52" s="47">
        <f t="shared" si="5"/>
        <v>2020</v>
      </c>
      <c r="E52" s="60">
        <f>IFERROR(AVERAGEIFS(K:K,A:A,'TAB DIN PROVENTOS B3'!$L$3),"")</f>
        <v>1.2070588235294117</v>
      </c>
      <c r="F52" t="s">
        <v>2411</v>
      </c>
      <c r="G52" s="45" t="s">
        <v>2374</v>
      </c>
      <c r="H52" t="s">
        <v>2412</v>
      </c>
      <c r="I52" t="s">
        <v>2348</v>
      </c>
      <c r="J52" s="36">
        <v>1</v>
      </c>
      <c r="K52" s="46">
        <v>0.5</v>
      </c>
      <c r="L52" s="46">
        <v>1</v>
      </c>
    </row>
    <row r="53" spans="1:12" x14ac:dyDescent="0.25">
      <c r="A53" s="47" t="str">
        <f t="shared" si="3"/>
        <v>XPLG11</v>
      </c>
      <c r="B53" s="92" t="s">
        <v>1662</v>
      </c>
      <c r="C53" s="47" t="str">
        <f t="shared" si="4"/>
        <v>FEVEREIRO</v>
      </c>
      <c r="D53" s="47">
        <f t="shared" si="5"/>
        <v>2020</v>
      </c>
      <c r="E53" s="60">
        <f>IFERROR(AVERAGEIFS(K:K,A:A,'TAB DIN PROVENTOS B3'!$L$3),"")</f>
        <v>1.2070588235294117</v>
      </c>
      <c r="F53" t="s">
        <v>2423</v>
      </c>
      <c r="G53" s="45" t="s">
        <v>2375</v>
      </c>
      <c r="H53" t="s">
        <v>2412</v>
      </c>
      <c r="I53" t="s">
        <v>2348</v>
      </c>
      <c r="J53" s="36">
        <v>1</v>
      </c>
      <c r="K53" s="46">
        <v>0.64</v>
      </c>
      <c r="L53" s="46">
        <v>0.64</v>
      </c>
    </row>
    <row r="54" spans="1:12" x14ac:dyDescent="0.25">
      <c r="A54" s="47" t="str">
        <f t="shared" si="3"/>
        <v>B3SA3</v>
      </c>
      <c r="B54" s="92" t="s">
        <v>2344</v>
      </c>
      <c r="C54" s="47" t="str">
        <f t="shared" si="4"/>
        <v>DEZEMBRO</v>
      </c>
      <c r="D54" s="47">
        <f t="shared" si="5"/>
        <v>2021</v>
      </c>
      <c r="E54" s="60">
        <f>IFERROR(AVERAGEIFS(K:K,A:A,'TAB DIN PROVENTOS B3'!$L$3),"")</f>
        <v>1.2070588235294117</v>
      </c>
      <c r="F54" t="s">
        <v>2427</v>
      </c>
      <c r="G54" s="45" t="s">
        <v>2428</v>
      </c>
      <c r="H54" t="s">
        <v>2350</v>
      </c>
      <c r="I54" t="s">
        <v>2348</v>
      </c>
      <c r="J54" s="36">
        <v>1</v>
      </c>
      <c r="K54" s="46">
        <v>0.15</v>
      </c>
      <c r="L54" s="46">
        <v>55.29</v>
      </c>
    </row>
    <row r="55" spans="1:12" x14ac:dyDescent="0.25">
      <c r="A55" s="47" t="str">
        <f t="shared" si="3"/>
        <v>BBAS3</v>
      </c>
      <c r="B55" s="92" t="s">
        <v>2344</v>
      </c>
      <c r="C55" s="47" t="str">
        <f t="shared" si="4"/>
        <v>DEZEMBRO</v>
      </c>
      <c r="D55" s="47">
        <f t="shared" si="5"/>
        <v>2021</v>
      </c>
      <c r="E55" s="60">
        <f>IFERROR(AVERAGEIFS(K:K,A:A,'TAB DIN PROVENTOS B3'!$L$3),"")</f>
        <v>1.2070588235294117</v>
      </c>
      <c r="F55" t="s">
        <v>2425</v>
      </c>
      <c r="G55" s="45" t="s">
        <v>2428</v>
      </c>
      <c r="H55" t="s">
        <v>2349</v>
      </c>
      <c r="I55" t="s">
        <v>2348</v>
      </c>
      <c r="J55" s="36">
        <v>1</v>
      </c>
      <c r="K55" s="46">
        <v>0.17</v>
      </c>
      <c r="L55" s="46">
        <v>39.86</v>
      </c>
    </row>
    <row r="56" spans="1:12" x14ac:dyDescent="0.25">
      <c r="A56" s="47" t="str">
        <f t="shared" si="3"/>
        <v>CMIG3</v>
      </c>
      <c r="B56" s="92" t="s">
        <v>2344</v>
      </c>
      <c r="C56" s="47" t="str">
        <f t="shared" si="4"/>
        <v>DEZEMBRO</v>
      </c>
      <c r="D56" s="47">
        <f t="shared" si="5"/>
        <v>2021</v>
      </c>
      <c r="E56" s="60">
        <f>IFERROR(AVERAGEIFS(K:K,A:A,'TAB DIN PROVENTOS B3'!$L$3),"")</f>
        <v>1.2070588235294117</v>
      </c>
      <c r="F56" t="s">
        <v>2407</v>
      </c>
      <c r="G56" s="45" t="s">
        <v>2429</v>
      </c>
      <c r="H56" t="s">
        <v>2349</v>
      </c>
      <c r="I56" t="s">
        <v>2348</v>
      </c>
      <c r="J56" s="36">
        <v>1</v>
      </c>
      <c r="K56" s="46">
        <v>0.04</v>
      </c>
      <c r="L56" s="46">
        <v>3.5</v>
      </c>
    </row>
    <row r="57" spans="1:12" x14ac:dyDescent="0.25">
      <c r="A57" s="47" t="str">
        <f t="shared" si="3"/>
        <v>CMIG3</v>
      </c>
      <c r="B57" s="92" t="s">
        <v>2344</v>
      </c>
      <c r="C57" s="47" t="str">
        <f t="shared" si="4"/>
        <v>DEZEMBRO</v>
      </c>
      <c r="D57" s="47">
        <f t="shared" si="5"/>
        <v>2021</v>
      </c>
      <c r="E57" s="60">
        <f>IFERROR(AVERAGEIFS(K:K,A:A,'TAB DIN PROVENTOS B3'!$L$3),"")</f>
        <v>1.2070588235294117</v>
      </c>
      <c r="F57" t="s">
        <v>2407</v>
      </c>
      <c r="G57" s="45" t="s">
        <v>2429</v>
      </c>
      <c r="H57" t="s">
        <v>2349</v>
      </c>
      <c r="I57" t="s">
        <v>2348</v>
      </c>
      <c r="J57" s="36">
        <v>1</v>
      </c>
      <c r="K57" s="46">
        <v>0.14000000000000001</v>
      </c>
      <c r="L57" s="46">
        <v>12.62</v>
      </c>
    </row>
    <row r="58" spans="1:12" x14ac:dyDescent="0.25">
      <c r="A58" s="47" t="str">
        <f t="shared" si="3"/>
        <v>CMIG3</v>
      </c>
      <c r="B58" s="92" t="s">
        <v>2344</v>
      </c>
      <c r="C58" s="47" t="str">
        <f t="shared" si="4"/>
        <v>DEZEMBRO</v>
      </c>
      <c r="D58" s="47">
        <f t="shared" si="5"/>
        <v>2021</v>
      </c>
      <c r="E58" s="60">
        <f>IFERROR(AVERAGEIFS(K:K,A:A,'TAB DIN PROVENTOS B3'!$L$3),"")</f>
        <v>1.2070588235294117</v>
      </c>
      <c r="F58" t="s">
        <v>2407</v>
      </c>
      <c r="G58" s="45" t="s">
        <v>2429</v>
      </c>
      <c r="H58" t="s">
        <v>2350</v>
      </c>
      <c r="I58" t="s">
        <v>2348</v>
      </c>
      <c r="J58" s="36">
        <v>1</v>
      </c>
      <c r="K58" s="46">
        <v>0.31</v>
      </c>
      <c r="L58" s="46">
        <v>31.8</v>
      </c>
    </row>
    <row r="59" spans="1:12" x14ac:dyDescent="0.25">
      <c r="A59" s="47" t="str">
        <f t="shared" si="3"/>
        <v>TAEE4</v>
      </c>
      <c r="B59" s="92" t="s">
        <v>2344</v>
      </c>
      <c r="C59" s="47" t="str">
        <f t="shared" si="4"/>
        <v>DEZEMBRO</v>
      </c>
      <c r="D59" s="47">
        <f t="shared" si="5"/>
        <v>2021</v>
      </c>
      <c r="E59" s="60">
        <f>IFERROR(AVERAGEIFS(K:K,A:A,'TAB DIN PROVENTOS B3'!$L$3),"")</f>
        <v>1.2070588235294117</v>
      </c>
      <c r="F59" t="s">
        <v>2409</v>
      </c>
      <c r="G59" s="45" t="s">
        <v>2429</v>
      </c>
      <c r="H59" t="s">
        <v>2349</v>
      </c>
      <c r="I59" t="s">
        <v>2348</v>
      </c>
      <c r="J59" s="36">
        <v>1</v>
      </c>
      <c r="K59" s="46">
        <v>0.2</v>
      </c>
      <c r="L59" s="46">
        <v>106.17</v>
      </c>
    </row>
    <row r="60" spans="1:12" x14ac:dyDescent="0.25">
      <c r="A60" s="47" t="str">
        <f t="shared" si="3"/>
        <v>TAEE4</v>
      </c>
      <c r="B60" s="92" t="s">
        <v>2344</v>
      </c>
      <c r="C60" s="47" t="str">
        <f t="shared" si="4"/>
        <v>DEZEMBRO</v>
      </c>
      <c r="D60" s="47">
        <f t="shared" si="5"/>
        <v>2021</v>
      </c>
      <c r="E60" s="60">
        <f>IFERROR(AVERAGEIFS(K:K,A:A,'TAB DIN PROVENTOS B3'!$L$3),"")</f>
        <v>1.2070588235294117</v>
      </c>
      <c r="F60" t="s">
        <v>2409</v>
      </c>
      <c r="G60" s="45" t="s">
        <v>2429</v>
      </c>
      <c r="H60" t="s">
        <v>2350</v>
      </c>
      <c r="I60" t="s">
        <v>2348</v>
      </c>
      <c r="J60" s="36">
        <v>1</v>
      </c>
      <c r="K60" s="46">
        <v>0.31</v>
      </c>
      <c r="L60" s="46">
        <v>198.46</v>
      </c>
    </row>
    <row r="61" spans="1:12" x14ac:dyDescent="0.25">
      <c r="A61" s="47" t="str">
        <f t="shared" si="3"/>
        <v>ALZR11</v>
      </c>
      <c r="B61" s="92" t="s">
        <v>1662</v>
      </c>
      <c r="C61" s="47" t="str">
        <f t="shared" si="4"/>
        <v>DEZEMBRO</v>
      </c>
      <c r="D61" s="47">
        <f t="shared" si="5"/>
        <v>2021</v>
      </c>
      <c r="E61" s="60">
        <f>IFERROR(AVERAGEIFS(K:K,A:A,'TAB DIN PROVENTOS B3'!$L$3),"")</f>
        <v>1.2070588235294117</v>
      </c>
      <c r="F61" t="s">
        <v>2430</v>
      </c>
      <c r="G61" s="45" t="s">
        <v>2431</v>
      </c>
      <c r="H61" t="s">
        <v>2412</v>
      </c>
      <c r="I61" t="s">
        <v>2348</v>
      </c>
      <c r="J61" s="36">
        <v>1</v>
      </c>
      <c r="K61" s="46">
        <v>0.65</v>
      </c>
      <c r="L61" s="46">
        <v>23.49</v>
      </c>
    </row>
    <row r="62" spans="1:12" x14ac:dyDescent="0.25">
      <c r="A62" s="47" t="str">
        <f t="shared" si="3"/>
        <v>BTLG11</v>
      </c>
      <c r="B62" s="92" t="s">
        <v>1662</v>
      </c>
      <c r="C62" s="47" t="str">
        <f t="shared" si="4"/>
        <v>DEZEMBRO</v>
      </c>
      <c r="D62" s="47">
        <f t="shared" si="5"/>
        <v>2021</v>
      </c>
      <c r="E62" s="60">
        <f>IFERROR(AVERAGEIFS(K:K,A:A,'TAB DIN PROVENTOS B3'!$L$3),"")</f>
        <v>1.2070588235294117</v>
      </c>
      <c r="F62" t="s">
        <v>2432</v>
      </c>
      <c r="G62" s="45" t="s">
        <v>2431</v>
      </c>
      <c r="H62" t="s">
        <v>2412</v>
      </c>
      <c r="I62" t="s">
        <v>2348</v>
      </c>
      <c r="J62" s="36">
        <v>1</v>
      </c>
      <c r="K62" s="46">
        <v>0.72</v>
      </c>
      <c r="L62" s="46">
        <v>46.08</v>
      </c>
    </row>
    <row r="63" spans="1:12" x14ac:dyDescent="0.25">
      <c r="A63" s="47" t="str">
        <f t="shared" si="3"/>
        <v>XPML11</v>
      </c>
      <c r="B63" s="92" t="s">
        <v>1662</v>
      </c>
      <c r="C63" s="47" t="str">
        <f t="shared" si="4"/>
        <v>DEZEMBRO</v>
      </c>
      <c r="D63" s="47">
        <f t="shared" si="5"/>
        <v>2021</v>
      </c>
      <c r="E63" s="60">
        <f>IFERROR(AVERAGEIFS(K:K,A:A,'TAB DIN PROVENTOS B3'!$L$3),"")</f>
        <v>1.2070588235294117</v>
      </c>
      <c r="F63" t="s">
        <v>2411</v>
      </c>
      <c r="G63" s="45" t="s">
        <v>2431</v>
      </c>
      <c r="H63" t="s">
        <v>2412</v>
      </c>
      <c r="I63" t="s">
        <v>2348</v>
      </c>
      <c r="J63" s="36">
        <v>1</v>
      </c>
      <c r="K63" s="46">
        <v>0.55000000000000004</v>
      </c>
      <c r="L63" s="46">
        <v>18.7</v>
      </c>
    </row>
    <row r="64" spans="1:12" x14ac:dyDescent="0.25">
      <c r="A64" s="47" t="str">
        <f t="shared" si="3"/>
        <v>IRDM11</v>
      </c>
      <c r="B64" s="92" t="s">
        <v>1662</v>
      </c>
      <c r="C64" s="47" t="str">
        <f t="shared" si="4"/>
        <v>DEZEMBRO</v>
      </c>
      <c r="D64" s="47">
        <f t="shared" si="5"/>
        <v>2021</v>
      </c>
      <c r="E64" s="60">
        <f>IFERROR(AVERAGEIFS(K:K,A:A,'TAB DIN PROVENTOS B3'!$L$3),"")</f>
        <v>1.2070588235294117</v>
      </c>
      <c r="F64" t="s">
        <v>2433</v>
      </c>
      <c r="G64" s="45" t="s">
        <v>2434</v>
      </c>
      <c r="H64" t="s">
        <v>2412</v>
      </c>
      <c r="I64" t="s">
        <v>2348</v>
      </c>
      <c r="J64" s="36">
        <v>1</v>
      </c>
      <c r="K64" s="46">
        <v>1.1299999999999999</v>
      </c>
      <c r="L64" s="46">
        <v>43.97</v>
      </c>
    </row>
    <row r="65" spans="1:12" x14ac:dyDescent="0.25">
      <c r="A65" s="47" t="str">
        <f t="shared" si="3"/>
        <v>RBVA11</v>
      </c>
      <c r="B65" s="92" t="s">
        <v>1662</v>
      </c>
      <c r="C65" s="47" t="str">
        <f t="shared" si="4"/>
        <v>DEZEMBRO</v>
      </c>
      <c r="D65" s="47">
        <f t="shared" si="5"/>
        <v>2021</v>
      </c>
      <c r="E65" s="60">
        <f>IFERROR(AVERAGEIFS(K:K,A:A,'TAB DIN PROVENTOS B3'!$L$3),"")</f>
        <v>1.2070588235294117</v>
      </c>
      <c r="F65" t="s">
        <v>2413</v>
      </c>
      <c r="G65" s="45" t="s">
        <v>2435</v>
      </c>
      <c r="H65" t="s">
        <v>2412</v>
      </c>
      <c r="I65" t="s">
        <v>2348</v>
      </c>
      <c r="J65" s="36">
        <v>1</v>
      </c>
      <c r="K65" s="46">
        <v>0.91</v>
      </c>
      <c r="L65" s="46">
        <v>40.04</v>
      </c>
    </row>
    <row r="66" spans="1:12" x14ac:dyDescent="0.25">
      <c r="A66" s="47" t="str">
        <f t="shared" si="3"/>
        <v>BCFF11</v>
      </c>
      <c r="B66" s="92" t="s">
        <v>1662</v>
      </c>
      <c r="C66" s="47" t="str">
        <f t="shared" si="4"/>
        <v>DEZEMBRO</v>
      </c>
      <c r="D66" s="47">
        <f t="shared" si="5"/>
        <v>2021</v>
      </c>
      <c r="E66" s="60">
        <f>IFERROR(AVERAGEIFS(K:K,A:A,'TAB DIN PROVENTOS B3'!$L$3),"")</f>
        <v>1.2070588235294117</v>
      </c>
      <c r="F66" t="s">
        <v>2414</v>
      </c>
      <c r="G66" s="45" t="s">
        <v>2436</v>
      </c>
      <c r="H66" t="s">
        <v>2412</v>
      </c>
      <c r="I66" t="s">
        <v>2348</v>
      </c>
      <c r="J66" s="36">
        <v>1</v>
      </c>
      <c r="K66" s="46">
        <v>0.5</v>
      </c>
      <c r="L66" s="46">
        <v>27.5</v>
      </c>
    </row>
    <row r="67" spans="1:12" x14ac:dyDescent="0.25">
      <c r="A67" s="47" t="str">
        <f t="shared" si="3"/>
        <v>BRCR11</v>
      </c>
      <c r="B67" s="92" t="s">
        <v>1662</v>
      </c>
      <c r="C67" s="47" t="str">
        <f t="shared" si="4"/>
        <v>DEZEMBRO</v>
      </c>
      <c r="D67" s="47">
        <f t="shared" si="5"/>
        <v>2021</v>
      </c>
      <c r="E67" s="60">
        <f>IFERROR(AVERAGEIFS(K:K,A:A,'TAB DIN PROVENTOS B3'!$L$3),"")</f>
        <v>1.2070588235294117</v>
      </c>
      <c r="F67" t="s">
        <v>2415</v>
      </c>
      <c r="G67" s="45" t="s">
        <v>2436</v>
      </c>
      <c r="H67" t="s">
        <v>2412</v>
      </c>
      <c r="I67" t="s">
        <v>2348</v>
      </c>
      <c r="J67" s="36">
        <v>1</v>
      </c>
      <c r="K67" s="46">
        <v>0.5</v>
      </c>
      <c r="L67" s="46">
        <v>25</v>
      </c>
    </row>
    <row r="68" spans="1:12" x14ac:dyDescent="0.25">
      <c r="A68" s="47" t="str">
        <f t="shared" si="3"/>
        <v>HCTR11</v>
      </c>
      <c r="B68" s="92" t="s">
        <v>1662</v>
      </c>
      <c r="C68" s="47" t="str">
        <f t="shared" si="4"/>
        <v>DEZEMBRO</v>
      </c>
      <c r="D68" s="47">
        <f t="shared" si="5"/>
        <v>2021</v>
      </c>
      <c r="E68" s="60">
        <f>IFERROR(AVERAGEIFS(K:K,A:A,'TAB DIN PROVENTOS B3'!$L$3),"")</f>
        <v>1.2070588235294117</v>
      </c>
      <c r="F68" t="s">
        <v>2437</v>
      </c>
      <c r="G68" s="45" t="s">
        <v>2436</v>
      </c>
      <c r="H68" t="s">
        <v>2412</v>
      </c>
      <c r="I68" t="s">
        <v>2348</v>
      </c>
      <c r="J68" s="36">
        <v>1</v>
      </c>
      <c r="K68" s="46">
        <v>1.6</v>
      </c>
      <c r="L68" s="46">
        <v>75.2</v>
      </c>
    </row>
    <row r="69" spans="1:12" x14ac:dyDescent="0.25">
      <c r="A69" s="47" t="str">
        <f t="shared" si="3"/>
        <v>HGLG11</v>
      </c>
      <c r="B69" s="92" t="s">
        <v>1662</v>
      </c>
      <c r="C69" s="47" t="str">
        <f t="shared" si="4"/>
        <v>DEZEMBRO</v>
      </c>
      <c r="D69" s="47">
        <f t="shared" si="5"/>
        <v>2021</v>
      </c>
      <c r="E69" s="60">
        <f>IFERROR(AVERAGEIFS(K:K,A:A,'TAB DIN PROVENTOS B3'!$L$3),"")</f>
        <v>1.2070588235294117</v>
      </c>
      <c r="F69" t="s">
        <v>2416</v>
      </c>
      <c r="G69" s="45" t="s">
        <v>2436</v>
      </c>
      <c r="H69" t="s">
        <v>2412</v>
      </c>
      <c r="I69" t="s">
        <v>2348</v>
      </c>
      <c r="J69" s="36">
        <v>1</v>
      </c>
      <c r="K69" s="46">
        <v>1.1000000000000001</v>
      </c>
      <c r="L69" s="46">
        <v>23.1</v>
      </c>
    </row>
    <row r="70" spans="1:12" x14ac:dyDescent="0.25">
      <c r="A70" s="47" t="str">
        <f t="shared" si="3"/>
        <v>HGRE11</v>
      </c>
      <c r="B70" s="92" t="s">
        <v>1662</v>
      </c>
      <c r="C70" s="47" t="str">
        <f t="shared" si="4"/>
        <v>DEZEMBRO</v>
      </c>
      <c r="D70" s="47">
        <f t="shared" si="5"/>
        <v>2021</v>
      </c>
      <c r="E70" s="60">
        <f>IFERROR(AVERAGEIFS(K:K,A:A,'TAB DIN PROVENTOS B3'!$L$3),"")</f>
        <v>1.2070588235294117</v>
      </c>
      <c r="F70" t="s">
        <v>2417</v>
      </c>
      <c r="G70" s="45" t="s">
        <v>2436</v>
      </c>
      <c r="H70" t="s">
        <v>2412</v>
      </c>
      <c r="I70" t="s">
        <v>2348</v>
      </c>
      <c r="J70" s="36">
        <v>1</v>
      </c>
      <c r="K70" s="46">
        <v>0.69</v>
      </c>
      <c r="L70" s="46">
        <v>16.559999999999999</v>
      </c>
    </row>
    <row r="71" spans="1:12" x14ac:dyDescent="0.25">
      <c r="A71" s="47" t="str">
        <f t="shared" si="3"/>
        <v>HGRU11</v>
      </c>
      <c r="B71" s="92" t="s">
        <v>1662</v>
      </c>
      <c r="C71" s="47" t="str">
        <f t="shared" si="4"/>
        <v>DEZEMBRO</v>
      </c>
      <c r="D71" s="47">
        <f t="shared" si="5"/>
        <v>2021</v>
      </c>
      <c r="E71" s="60">
        <f>IFERROR(AVERAGEIFS(K:K,A:A,'TAB DIN PROVENTOS B3'!$L$3),"")</f>
        <v>1.2070588235294117</v>
      </c>
      <c r="F71" t="s">
        <v>2418</v>
      </c>
      <c r="G71" s="45" t="s">
        <v>2436</v>
      </c>
      <c r="H71" t="s">
        <v>2412</v>
      </c>
      <c r="I71" t="s">
        <v>2348</v>
      </c>
      <c r="J71" s="36">
        <v>1</v>
      </c>
      <c r="K71" s="46">
        <v>0.72</v>
      </c>
      <c r="L71" s="46">
        <v>23.76</v>
      </c>
    </row>
    <row r="72" spans="1:12" x14ac:dyDescent="0.25">
      <c r="A72" s="47" t="str">
        <f t="shared" si="3"/>
        <v>KNRI11</v>
      </c>
      <c r="B72" s="92" t="s">
        <v>1662</v>
      </c>
      <c r="C72" s="47" t="str">
        <f t="shared" si="4"/>
        <v>DEZEMBRO</v>
      </c>
      <c r="D72" s="47">
        <f t="shared" si="5"/>
        <v>2021</v>
      </c>
      <c r="E72" s="60">
        <f>IFERROR(AVERAGEIFS(K:K,A:A,'TAB DIN PROVENTOS B3'!$L$3),"")</f>
        <v>1.2070588235294117</v>
      </c>
      <c r="F72" t="s">
        <v>2419</v>
      </c>
      <c r="G72" s="45" t="s">
        <v>2436</v>
      </c>
      <c r="H72" t="s">
        <v>2412</v>
      </c>
      <c r="I72" t="s">
        <v>2348</v>
      </c>
      <c r="J72" s="36">
        <v>1</v>
      </c>
      <c r="K72" s="46">
        <v>0.77</v>
      </c>
      <c r="L72" s="46">
        <v>10.01</v>
      </c>
    </row>
    <row r="73" spans="1:12" x14ac:dyDescent="0.25">
      <c r="A73" s="47" t="str">
        <f t="shared" si="3"/>
        <v>MXRF11</v>
      </c>
      <c r="B73" s="92" t="s">
        <v>1662</v>
      </c>
      <c r="C73" s="47" t="str">
        <f t="shared" si="4"/>
        <v>DEZEMBRO</v>
      </c>
      <c r="D73" s="47">
        <f t="shared" si="5"/>
        <v>2021</v>
      </c>
      <c r="E73" s="60">
        <f>IFERROR(AVERAGEIFS(K:K,A:A,'TAB DIN PROVENTOS B3'!$L$3),"")</f>
        <v>1.2070588235294117</v>
      </c>
      <c r="F73" t="s">
        <v>2420</v>
      </c>
      <c r="G73" s="45" t="s">
        <v>2436</v>
      </c>
      <c r="H73" t="s">
        <v>2412</v>
      </c>
      <c r="I73" t="s">
        <v>2348</v>
      </c>
      <c r="J73" s="36">
        <v>1</v>
      </c>
      <c r="K73" s="46">
        <v>0.08</v>
      </c>
      <c r="L73" s="46">
        <v>50.4</v>
      </c>
    </row>
    <row r="74" spans="1:12" x14ac:dyDescent="0.25">
      <c r="A74" s="47" t="str">
        <f t="shared" si="3"/>
        <v>VILG11</v>
      </c>
      <c r="B74" s="92" t="s">
        <v>1662</v>
      </c>
      <c r="C74" s="47" t="str">
        <f t="shared" si="4"/>
        <v>DEZEMBRO</v>
      </c>
      <c r="D74" s="47">
        <f t="shared" si="5"/>
        <v>2021</v>
      </c>
      <c r="E74" s="60">
        <f>IFERROR(AVERAGEIFS(K:K,A:A,'TAB DIN PROVENTOS B3'!$L$3),"")</f>
        <v>1.2070588235294117</v>
      </c>
      <c r="F74" t="s">
        <v>2438</v>
      </c>
      <c r="G74" s="45" t="s">
        <v>2436</v>
      </c>
      <c r="H74" t="s">
        <v>2412</v>
      </c>
      <c r="I74" t="s">
        <v>2348</v>
      </c>
      <c r="J74" s="36">
        <v>1</v>
      </c>
      <c r="K74" s="46">
        <v>0.64</v>
      </c>
      <c r="L74" s="46">
        <v>7.68</v>
      </c>
    </row>
    <row r="75" spans="1:12" x14ac:dyDescent="0.25">
      <c r="A75" s="47" t="str">
        <f t="shared" si="3"/>
        <v>VINO11</v>
      </c>
      <c r="B75" s="92" t="s">
        <v>1662</v>
      </c>
      <c r="C75" s="47" t="str">
        <f t="shared" si="4"/>
        <v>DEZEMBRO</v>
      </c>
      <c r="D75" s="47">
        <f t="shared" si="5"/>
        <v>2021</v>
      </c>
      <c r="E75" s="60">
        <f>IFERROR(AVERAGEIFS(K:K,A:A,'TAB DIN PROVENTOS B3'!$L$3),"")</f>
        <v>1.2070588235294117</v>
      </c>
      <c r="F75" t="s">
        <v>2422</v>
      </c>
      <c r="G75" s="45" t="s">
        <v>2436</v>
      </c>
      <c r="H75" t="s">
        <v>2412</v>
      </c>
      <c r="I75" t="s">
        <v>2348</v>
      </c>
      <c r="J75" s="36">
        <v>1</v>
      </c>
      <c r="K75" s="46">
        <v>0.55000000000000004</v>
      </c>
      <c r="L75" s="46">
        <v>40.700000000000003</v>
      </c>
    </row>
    <row r="76" spans="1:12" x14ac:dyDescent="0.25">
      <c r="A76" s="47" t="str">
        <f t="shared" si="3"/>
        <v>XPLG11</v>
      </c>
      <c r="B76" s="92" t="s">
        <v>1662</v>
      </c>
      <c r="C76" s="47" t="str">
        <f t="shared" si="4"/>
        <v>DEZEMBRO</v>
      </c>
      <c r="D76" s="47">
        <f t="shared" si="5"/>
        <v>2021</v>
      </c>
      <c r="E76" s="60">
        <f>IFERROR(AVERAGEIFS(K:K,A:A,'TAB DIN PROVENTOS B3'!$L$3),"")</f>
        <v>1.2070588235294117</v>
      </c>
      <c r="F76" t="s">
        <v>2423</v>
      </c>
      <c r="G76" s="45" t="s">
        <v>2436</v>
      </c>
      <c r="H76" t="s">
        <v>2412</v>
      </c>
      <c r="I76" t="s">
        <v>2348</v>
      </c>
      <c r="J76" s="36">
        <v>1</v>
      </c>
      <c r="K76" s="46">
        <v>0.64</v>
      </c>
      <c r="L76" s="46">
        <v>51.84</v>
      </c>
    </row>
    <row r="77" spans="1:12" x14ac:dyDescent="0.25">
      <c r="A77" s="47" t="str">
        <f t="shared" si="3"/>
        <v>LVBI11</v>
      </c>
      <c r="B77" s="92" t="s">
        <v>1662</v>
      </c>
      <c r="C77" s="47" t="str">
        <f t="shared" si="4"/>
        <v>DEZEMBRO</v>
      </c>
      <c r="D77" s="47">
        <f t="shared" si="5"/>
        <v>2021</v>
      </c>
      <c r="E77" s="60">
        <f>IFERROR(AVERAGEIFS(K:K,A:A,'TAB DIN PROVENTOS B3'!$L$3),"")</f>
        <v>1.2070588235294117</v>
      </c>
      <c r="F77" t="s">
        <v>2424</v>
      </c>
      <c r="G77" s="45" t="s">
        <v>2439</v>
      </c>
      <c r="H77" t="s">
        <v>2412</v>
      </c>
      <c r="I77" t="s">
        <v>2348</v>
      </c>
      <c r="J77" s="36">
        <v>1</v>
      </c>
      <c r="K77" s="46">
        <v>0.7</v>
      </c>
      <c r="L77" s="46">
        <v>14</v>
      </c>
    </row>
    <row r="78" spans="1:12" x14ac:dyDescent="0.25">
      <c r="A78" s="47" t="str">
        <f t="shared" si="3"/>
        <v>SANB4</v>
      </c>
      <c r="B78" s="92" t="s">
        <v>2344</v>
      </c>
      <c r="C78" s="47" t="str">
        <f t="shared" si="4"/>
        <v>DEZEMBRO</v>
      </c>
      <c r="D78" s="47">
        <f t="shared" si="5"/>
        <v>2021</v>
      </c>
      <c r="E78" s="60">
        <f>IFERROR(AVERAGEIFS(K:K,A:A,'TAB DIN PROVENTOS B3'!$L$3),"")</f>
        <v>1.2070588235294117</v>
      </c>
      <c r="F78" t="s">
        <v>2410</v>
      </c>
      <c r="G78" s="45" t="s">
        <v>2440</v>
      </c>
      <c r="H78" t="s">
        <v>2350</v>
      </c>
      <c r="I78" t="s">
        <v>2348</v>
      </c>
      <c r="J78" s="36">
        <v>1</v>
      </c>
      <c r="K78" s="46">
        <v>0.42</v>
      </c>
      <c r="L78" s="46">
        <v>88.88</v>
      </c>
    </row>
    <row r="79" spans="1:12" x14ac:dyDescent="0.25">
      <c r="A79" s="47" t="str">
        <f t="shared" si="3"/>
        <v>ALZR11</v>
      </c>
      <c r="B79" s="92" t="s">
        <v>1662</v>
      </c>
      <c r="C79" s="47" t="str">
        <f t="shared" si="4"/>
        <v>NOVEMBRO</v>
      </c>
      <c r="D79" s="47">
        <f t="shared" si="5"/>
        <v>2021</v>
      </c>
      <c r="E79" s="60">
        <f>IFERROR(AVERAGEIFS(K:K,A:A,'TAB DIN PROVENTOS B3'!$L$3),"")</f>
        <v>1.2070588235294117</v>
      </c>
      <c r="F79" t="s">
        <v>2430</v>
      </c>
      <c r="G79" s="45" t="s">
        <v>2441</v>
      </c>
      <c r="H79" t="s">
        <v>2412</v>
      </c>
      <c r="I79" t="s">
        <v>2348</v>
      </c>
      <c r="J79" s="36">
        <v>1</v>
      </c>
      <c r="K79" s="46">
        <v>0.64</v>
      </c>
      <c r="L79" s="46">
        <v>4.46</v>
      </c>
    </row>
    <row r="80" spans="1:12" x14ac:dyDescent="0.25">
      <c r="A80" s="47" t="str">
        <f t="shared" si="3"/>
        <v>BTLG11</v>
      </c>
      <c r="B80" s="92" t="s">
        <v>1662</v>
      </c>
      <c r="C80" s="47" t="str">
        <f t="shared" si="4"/>
        <v>NOVEMBRO</v>
      </c>
      <c r="D80" s="47">
        <f t="shared" si="5"/>
        <v>2021</v>
      </c>
      <c r="E80" s="60">
        <f>IFERROR(AVERAGEIFS(K:K,A:A,'TAB DIN PROVENTOS B3'!$L$3),"")</f>
        <v>1.2070588235294117</v>
      </c>
      <c r="F80" t="s">
        <v>2432</v>
      </c>
      <c r="G80" s="45" t="s">
        <v>2441</v>
      </c>
      <c r="H80" t="s">
        <v>2412</v>
      </c>
      <c r="I80" t="s">
        <v>2348</v>
      </c>
      <c r="J80" s="36">
        <v>1</v>
      </c>
      <c r="K80" s="46">
        <v>0.72</v>
      </c>
      <c r="L80" s="46">
        <v>32.4</v>
      </c>
    </row>
    <row r="81" spans="1:12" x14ac:dyDescent="0.25">
      <c r="A81" s="47" t="str">
        <f t="shared" si="3"/>
        <v>XPML11</v>
      </c>
      <c r="B81" s="92" t="s">
        <v>1662</v>
      </c>
      <c r="C81" s="47" t="str">
        <f t="shared" si="4"/>
        <v>NOVEMBRO</v>
      </c>
      <c r="D81" s="47">
        <f t="shared" si="5"/>
        <v>2021</v>
      </c>
      <c r="E81" s="60">
        <f>IFERROR(AVERAGEIFS(K:K,A:A,'TAB DIN PROVENTOS B3'!$L$3),"")</f>
        <v>1.2070588235294117</v>
      </c>
      <c r="F81" t="s">
        <v>2411</v>
      </c>
      <c r="G81" s="45" t="s">
        <v>2441</v>
      </c>
      <c r="H81" t="s">
        <v>2412</v>
      </c>
      <c r="I81" t="s">
        <v>2348</v>
      </c>
      <c r="J81" s="36">
        <v>1</v>
      </c>
      <c r="K81" s="46">
        <v>0.5</v>
      </c>
      <c r="L81" s="46">
        <v>17</v>
      </c>
    </row>
    <row r="82" spans="1:12" x14ac:dyDescent="0.25">
      <c r="A82" s="47" t="str">
        <f t="shared" si="3"/>
        <v>IRDM11</v>
      </c>
      <c r="B82" s="92" t="s">
        <v>1662</v>
      </c>
      <c r="C82" s="47" t="str">
        <f t="shared" si="4"/>
        <v>NOVEMBRO</v>
      </c>
      <c r="D82" s="47">
        <f t="shared" si="5"/>
        <v>2021</v>
      </c>
      <c r="E82" s="60">
        <f>IFERROR(AVERAGEIFS(K:K,A:A,'TAB DIN PROVENTOS B3'!$L$3),"")</f>
        <v>1.2070588235294117</v>
      </c>
      <c r="F82" t="s">
        <v>2433</v>
      </c>
      <c r="G82" s="45" t="s">
        <v>2442</v>
      </c>
      <c r="H82" t="s">
        <v>2412</v>
      </c>
      <c r="I82" t="s">
        <v>2348</v>
      </c>
      <c r="J82" s="36">
        <v>1</v>
      </c>
      <c r="K82" s="46">
        <v>1.37</v>
      </c>
      <c r="L82" s="46">
        <v>20.48</v>
      </c>
    </row>
    <row r="83" spans="1:12" x14ac:dyDescent="0.25">
      <c r="A83" s="47" t="str">
        <f t="shared" si="3"/>
        <v>TRPL4</v>
      </c>
      <c r="B83" s="92" t="s">
        <v>2344</v>
      </c>
      <c r="C83" s="47" t="str">
        <f t="shared" si="4"/>
        <v>NOVEMBRO</v>
      </c>
      <c r="D83" s="47">
        <f t="shared" si="5"/>
        <v>2021</v>
      </c>
      <c r="E83" s="60">
        <f>IFERROR(AVERAGEIFS(K:K,A:A,'TAB DIN PROVENTOS B3'!$L$3),"")</f>
        <v>1.2070588235294117</v>
      </c>
      <c r="F83" t="s">
        <v>2426</v>
      </c>
      <c r="G83" s="45" t="s">
        <v>2443</v>
      </c>
      <c r="H83" t="s">
        <v>2350</v>
      </c>
      <c r="I83" t="s">
        <v>2348</v>
      </c>
      <c r="J83" s="36">
        <v>1</v>
      </c>
      <c r="K83" s="46">
        <v>0.53</v>
      </c>
      <c r="L83" s="46">
        <v>105.87</v>
      </c>
    </row>
    <row r="84" spans="1:12" x14ac:dyDescent="0.25">
      <c r="A84" s="47" t="str">
        <f t="shared" si="3"/>
        <v>BCFF11</v>
      </c>
      <c r="B84" s="92" t="s">
        <v>1662</v>
      </c>
      <c r="C84" s="47" t="str">
        <f t="shared" si="4"/>
        <v>NOVEMBRO</v>
      </c>
      <c r="D84" s="47">
        <f t="shared" si="5"/>
        <v>2021</v>
      </c>
      <c r="E84" s="60">
        <f>IFERROR(AVERAGEIFS(K:K,A:A,'TAB DIN PROVENTOS B3'!$L$3),"")</f>
        <v>1.2070588235294117</v>
      </c>
      <c r="F84" t="s">
        <v>2414</v>
      </c>
      <c r="G84" s="45" t="s">
        <v>2444</v>
      </c>
      <c r="H84" t="s">
        <v>2412</v>
      </c>
      <c r="I84" t="s">
        <v>2348</v>
      </c>
      <c r="J84" s="36">
        <v>1</v>
      </c>
      <c r="K84" s="46">
        <v>0.5</v>
      </c>
      <c r="L84" s="46">
        <v>20</v>
      </c>
    </row>
    <row r="85" spans="1:12" x14ac:dyDescent="0.25">
      <c r="A85" s="47" t="str">
        <f t="shared" si="3"/>
        <v>HCTR11</v>
      </c>
      <c r="B85" s="92" t="s">
        <v>1662</v>
      </c>
      <c r="C85" s="47" t="str">
        <f t="shared" si="4"/>
        <v>NOVEMBRO</v>
      </c>
      <c r="D85" s="47">
        <f t="shared" si="5"/>
        <v>2021</v>
      </c>
      <c r="E85" s="60">
        <f>IFERROR(AVERAGEIFS(K:K,A:A,'TAB DIN PROVENTOS B3'!$L$3),"")</f>
        <v>1.2070588235294117</v>
      </c>
      <c r="F85" t="s">
        <v>2437</v>
      </c>
      <c r="G85" s="45" t="s">
        <v>2444</v>
      </c>
      <c r="H85" t="s">
        <v>2412</v>
      </c>
      <c r="I85" t="s">
        <v>2348</v>
      </c>
      <c r="J85" s="36">
        <v>1</v>
      </c>
      <c r="K85" s="46">
        <v>1.6</v>
      </c>
      <c r="L85" s="46">
        <v>75.2</v>
      </c>
    </row>
    <row r="86" spans="1:12" x14ac:dyDescent="0.25">
      <c r="A86" s="47" t="str">
        <f t="shared" si="3"/>
        <v>HGLG11</v>
      </c>
      <c r="B86" s="92" t="s">
        <v>1662</v>
      </c>
      <c r="C86" s="47" t="str">
        <f t="shared" si="4"/>
        <v>NOVEMBRO</v>
      </c>
      <c r="D86" s="47">
        <f t="shared" si="5"/>
        <v>2021</v>
      </c>
      <c r="E86" s="60">
        <f>IFERROR(AVERAGEIFS(K:K,A:A,'TAB DIN PROVENTOS B3'!$L$3),"")</f>
        <v>1.2070588235294117</v>
      </c>
      <c r="F86" t="s">
        <v>2416</v>
      </c>
      <c r="G86" s="45" t="s">
        <v>2444</v>
      </c>
      <c r="H86" t="s">
        <v>2412</v>
      </c>
      <c r="I86" t="s">
        <v>2348</v>
      </c>
      <c r="J86" s="36">
        <v>1</v>
      </c>
      <c r="K86" s="46">
        <v>1.1000000000000001</v>
      </c>
      <c r="L86" s="46">
        <v>23.1</v>
      </c>
    </row>
    <row r="87" spans="1:12" x14ac:dyDescent="0.25">
      <c r="A87" s="47" t="str">
        <f t="shared" si="3"/>
        <v>HGRU11</v>
      </c>
      <c r="B87" s="92" t="s">
        <v>1662</v>
      </c>
      <c r="C87" s="47" t="str">
        <f t="shared" si="4"/>
        <v>NOVEMBRO</v>
      </c>
      <c r="D87" s="47">
        <f t="shared" si="5"/>
        <v>2021</v>
      </c>
      <c r="E87" s="60">
        <f>IFERROR(AVERAGEIFS(K:K,A:A,'TAB DIN PROVENTOS B3'!$L$3),"")</f>
        <v>1.2070588235294117</v>
      </c>
      <c r="F87" t="s">
        <v>2418</v>
      </c>
      <c r="G87" s="45" t="s">
        <v>2444</v>
      </c>
      <c r="H87" t="s">
        <v>2412</v>
      </c>
      <c r="I87" t="s">
        <v>2348</v>
      </c>
      <c r="J87" s="36">
        <v>1</v>
      </c>
      <c r="K87" s="46">
        <v>0.72</v>
      </c>
      <c r="L87" s="46">
        <v>23.76</v>
      </c>
    </row>
    <row r="88" spans="1:12" x14ac:dyDescent="0.25">
      <c r="A88" s="47" t="str">
        <f t="shared" si="3"/>
        <v>KNRI11</v>
      </c>
      <c r="B88" s="92" t="s">
        <v>1662</v>
      </c>
      <c r="C88" s="47" t="str">
        <f t="shared" si="4"/>
        <v>NOVEMBRO</v>
      </c>
      <c r="D88" s="47">
        <f t="shared" si="5"/>
        <v>2021</v>
      </c>
      <c r="E88" s="60">
        <f>IFERROR(AVERAGEIFS(K:K,A:A,'TAB DIN PROVENTOS B3'!$L$3),"")</f>
        <v>1.2070588235294117</v>
      </c>
      <c r="F88" t="s">
        <v>2419</v>
      </c>
      <c r="G88" s="45" t="s">
        <v>2444</v>
      </c>
      <c r="H88" t="s">
        <v>2412</v>
      </c>
      <c r="I88" t="s">
        <v>2348</v>
      </c>
      <c r="J88" s="36">
        <v>1</v>
      </c>
      <c r="K88" s="46">
        <v>0.77</v>
      </c>
      <c r="L88" s="46">
        <v>10.01</v>
      </c>
    </row>
    <row r="89" spans="1:12" x14ac:dyDescent="0.25">
      <c r="A89" s="47" t="str">
        <f t="shared" si="3"/>
        <v>MXRF11</v>
      </c>
      <c r="B89" s="92" t="s">
        <v>1662</v>
      </c>
      <c r="C89" s="47" t="str">
        <f t="shared" si="4"/>
        <v>NOVEMBRO</v>
      </c>
      <c r="D89" s="47">
        <f t="shared" si="5"/>
        <v>2021</v>
      </c>
      <c r="E89" s="60">
        <f>IFERROR(AVERAGEIFS(K:K,A:A,'TAB DIN PROVENTOS B3'!$L$3),"")</f>
        <v>1.2070588235294117</v>
      </c>
      <c r="F89" t="s">
        <v>2420</v>
      </c>
      <c r="G89" s="45" t="s">
        <v>2444</v>
      </c>
      <c r="H89" t="s">
        <v>2412</v>
      </c>
      <c r="I89" t="s">
        <v>2348</v>
      </c>
      <c r="J89" s="36">
        <v>1</v>
      </c>
      <c r="K89" s="46">
        <v>0.09</v>
      </c>
      <c r="L89" s="46">
        <v>56.7</v>
      </c>
    </row>
    <row r="90" spans="1:12" x14ac:dyDescent="0.25">
      <c r="A90" s="47" t="str">
        <f t="shared" si="3"/>
        <v>VILG11</v>
      </c>
      <c r="B90" s="92" t="s">
        <v>1662</v>
      </c>
      <c r="C90" s="47" t="str">
        <f t="shared" si="4"/>
        <v>NOVEMBRO</v>
      </c>
      <c r="D90" s="47">
        <f t="shared" si="5"/>
        <v>2021</v>
      </c>
      <c r="E90" s="60">
        <f>IFERROR(AVERAGEIFS(K:K,A:A,'TAB DIN PROVENTOS B3'!$L$3),"")</f>
        <v>1.2070588235294117</v>
      </c>
      <c r="F90" t="s">
        <v>2438</v>
      </c>
      <c r="G90" s="45" t="s">
        <v>2444</v>
      </c>
      <c r="H90" t="s">
        <v>2412</v>
      </c>
      <c r="I90" t="s">
        <v>2348</v>
      </c>
      <c r="J90" s="36">
        <v>1</v>
      </c>
      <c r="K90" s="46">
        <v>0.64</v>
      </c>
      <c r="L90" s="46">
        <v>7.68</v>
      </c>
    </row>
    <row r="91" spans="1:12" x14ac:dyDescent="0.25">
      <c r="A91" s="47" t="str">
        <f t="shared" ref="A91:A114" si="6">MID(F91,1,SEARCH(" ",F91)-1)</f>
        <v>VINO11</v>
      </c>
      <c r="B91" s="92" t="s">
        <v>1662</v>
      </c>
      <c r="C91" s="47" t="str">
        <f t="shared" si="4"/>
        <v>NOVEMBRO</v>
      </c>
      <c r="D91" s="47">
        <f t="shared" si="5"/>
        <v>2021</v>
      </c>
      <c r="E91" s="60">
        <f>IFERROR(AVERAGEIFS(K:K,A:A,'TAB DIN PROVENTOS B3'!$L$3),"")</f>
        <v>1.2070588235294117</v>
      </c>
      <c r="F91" t="s">
        <v>2422</v>
      </c>
      <c r="G91" s="45" t="s">
        <v>2444</v>
      </c>
      <c r="H91" t="s">
        <v>2412</v>
      </c>
      <c r="I91" t="s">
        <v>2348</v>
      </c>
      <c r="J91" s="36">
        <v>1</v>
      </c>
      <c r="K91" s="46">
        <v>0.54</v>
      </c>
      <c r="L91" s="46">
        <v>39.96</v>
      </c>
    </row>
    <row r="92" spans="1:12" x14ac:dyDescent="0.25">
      <c r="A92" s="47" t="str">
        <f t="shared" si="6"/>
        <v>XPLG11</v>
      </c>
      <c r="B92" s="92" t="s">
        <v>1662</v>
      </c>
      <c r="C92" s="47" t="str">
        <f t="shared" ref="C92:C114" si="7">UPPER(TEXT(G92,"MMMM"))</f>
        <v>NOVEMBRO</v>
      </c>
      <c r="D92" s="47">
        <f t="shared" ref="D92:D114" si="8">YEAR(G92)</f>
        <v>2021</v>
      </c>
      <c r="E92" s="60">
        <f>IFERROR(AVERAGEIFS(K:K,A:A,'TAB DIN PROVENTOS B3'!$L$3),"")</f>
        <v>1.2070588235294117</v>
      </c>
      <c r="F92" t="s">
        <v>2423</v>
      </c>
      <c r="G92" s="45" t="s">
        <v>2444</v>
      </c>
      <c r="H92" t="s">
        <v>2412</v>
      </c>
      <c r="I92" t="s">
        <v>2348</v>
      </c>
      <c r="J92" s="36">
        <v>1</v>
      </c>
      <c r="K92" s="46">
        <v>0.64</v>
      </c>
      <c r="L92" s="46">
        <v>46.08</v>
      </c>
    </row>
    <row r="93" spans="1:12" x14ac:dyDescent="0.25">
      <c r="A93" s="47" t="str">
        <f t="shared" si="6"/>
        <v>RBVA11</v>
      </c>
      <c r="B93" s="92" t="s">
        <v>1662</v>
      </c>
      <c r="C93" s="47" t="str">
        <f t="shared" si="7"/>
        <v>NOVEMBRO</v>
      </c>
      <c r="D93" s="47">
        <f t="shared" si="8"/>
        <v>2021</v>
      </c>
      <c r="E93" s="60">
        <f>IFERROR(AVERAGEIFS(K:K,A:A,'TAB DIN PROVENTOS B3'!$L$3),"")</f>
        <v>1.2070588235294117</v>
      </c>
      <c r="F93" t="s">
        <v>2413</v>
      </c>
      <c r="G93" s="45" t="s">
        <v>2445</v>
      </c>
      <c r="H93" t="s">
        <v>2412</v>
      </c>
      <c r="I93" t="s">
        <v>2348</v>
      </c>
      <c r="J93" s="36">
        <v>1</v>
      </c>
      <c r="K93" s="46">
        <v>0.99</v>
      </c>
      <c r="L93" s="46">
        <v>43.56</v>
      </c>
    </row>
    <row r="94" spans="1:12" x14ac:dyDescent="0.25">
      <c r="A94" s="47" t="str">
        <f t="shared" si="6"/>
        <v>LVBI11</v>
      </c>
      <c r="B94" s="92" t="s">
        <v>1662</v>
      </c>
      <c r="C94" s="47" t="str">
        <f t="shared" si="7"/>
        <v>NOVEMBRO</v>
      </c>
      <c r="D94" s="47">
        <f t="shared" si="8"/>
        <v>2021</v>
      </c>
      <c r="E94" s="60">
        <f>IFERROR(AVERAGEIFS(K:K,A:A,'TAB DIN PROVENTOS B3'!$L$3),"")</f>
        <v>1.2070588235294117</v>
      </c>
      <c r="F94" t="s">
        <v>2424</v>
      </c>
      <c r="G94" s="45" t="s">
        <v>2446</v>
      </c>
      <c r="H94" t="s">
        <v>2412</v>
      </c>
      <c r="I94" t="s">
        <v>2348</v>
      </c>
      <c r="J94" s="36">
        <v>1</v>
      </c>
      <c r="K94" s="46">
        <v>0.67</v>
      </c>
      <c r="L94" s="46">
        <v>13.4</v>
      </c>
    </row>
    <row r="95" spans="1:12" x14ac:dyDescent="0.25">
      <c r="A95" s="47" t="str">
        <f t="shared" si="6"/>
        <v>ALZR11</v>
      </c>
      <c r="B95" s="92" t="s">
        <v>1662</v>
      </c>
      <c r="C95" s="47" t="str">
        <f t="shared" si="7"/>
        <v>OUTUBRO</v>
      </c>
      <c r="D95" s="47">
        <f t="shared" si="8"/>
        <v>2021</v>
      </c>
      <c r="E95" s="60">
        <f>IFERROR(AVERAGEIFS(K:K,A:A,'TAB DIN PROVENTOS B3'!$L$3),"")</f>
        <v>1.2070588235294117</v>
      </c>
      <c r="F95" t="s">
        <v>2430</v>
      </c>
      <c r="G95" s="45" t="s">
        <v>2447</v>
      </c>
      <c r="H95" t="s">
        <v>2412</v>
      </c>
      <c r="I95" t="s">
        <v>2348</v>
      </c>
      <c r="J95" s="36">
        <v>1</v>
      </c>
      <c r="K95" s="46">
        <v>0.62</v>
      </c>
      <c r="L95" s="46">
        <v>4.33</v>
      </c>
    </row>
    <row r="96" spans="1:12" x14ac:dyDescent="0.25">
      <c r="A96" s="47" t="str">
        <f t="shared" si="6"/>
        <v>BTLG11</v>
      </c>
      <c r="B96" s="92" t="s">
        <v>1662</v>
      </c>
      <c r="C96" s="47" t="str">
        <f t="shared" si="7"/>
        <v>OUTUBRO</v>
      </c>
      <c r="D96" s="47">
        <f t="shared" si="8"/>
        <v>2021</v>
      </c>
      <c r="E96" s="60">
        <f>IFERROR(AVERAGEIFS(K:K,A:A,'TAB DIN PROVENTOS B3'!$L$3),"")</f>
        <v>1.2070588235294117</v>
      </c>
      <c r="F96" t="s">
        <v>2432</v>
      </c>
      <c r="G96" s="45" t="s">
        <v>2447</v>
      </c>
      <c r="H96" t="s">
        <v>2412</v>
      </c>
      <c r="I96" t="s">
        <v>2348</v>
      </c>
      <c r="J96" s="36">
        <v>1</v>
      </c>
      <c r="K96" s="46">
        <v>0.72</v>
      </c>
      <c r="L96" s="46">
        <v>32.4</v>
      </c>
    </row>
    <row r="97" spans="1:12" x14ac:dyDescent="0.25">
      <c r="A97" s="47" t="str">
        <f t="shared" si="6"/>
        <v>XPML11</v>
      </c>
      <c r="B97" s="92" t="s">
        <v>1662</v>
      </c>
      <c r="C97" s="47" t="str">
        <f t="shared" si="7"/>
        <v>OUTUBRO</v>
      </c>
      <c r="D97" s="47">
        <f t="shared" si="8"/>
        <v>2021</v>
      </c>
      <c r="E97" s="60">
        <f>IFERROR(AVERAGEIFS(K:K,A:A,'TAB DIN PROVENTOS B3'!$L$3),"")</f>
        <v>1.2070588235294117</v>
      </c>
      <c r="F97" t="s">
        <v>2411</v>
      </c>
      <c r="G97" s="45" t="s">
        <v>2447</v>
      </c>
      <c r="H97" t="s">
        <v>2412</v>
      </c>
      <c r="I97" t="s">
        <v>2348</v>
      </c>
      <c r="J97" s="36">
        <v>1</v>
      </c>
      <c r="K97" s="46">
        <v>0.56999999999999995</v>
      </c>
      <c r="L97" s="46">
        <v>19.38</v>
      </c>
    </row>
    <row r="98" spans="1:12" x14ac:dyDescent="0.25">
      <c r="A98" s="47" t="str">
        <f t="shared" si="6"/>
        <v>IRDM11</v>
      </c>
      <c r="B98" s="92" t="s">
        <v>1662</v>
      </c>
      <c r="C98" s="47" t="str">
        <f t="shared" si="7"/>
        <v>OUTUBRO</v>
      </c>
      <c r="D98" s="47">
        <f t="shared" si="8"/>
        <v>2021</v>
      </c>
      <c r="E98" s="60">
        <f>IFERROR(AVERAGEIFS(K:K,A:A,'TAB DIN PROVENTOS B3'!$L$3),"")</f>
        <v>1.2070588235294117</v>
      </c>
      <c r="F98" t="s">
        <v>2433</v>
      </c>
      <c r="G98" s="45" t="s">
        <v>2448</v>
      </c>
      <c r="H98" t="s">
        <v>2412</v>
      </c>
      <c r="I98" t="s">
        <v>2348</v>
      </c>
      <c r="J98" s="36">
        <v>1</v>
      </c>
      <c r="K98" s="46">
        <v>1.05</v>
      </c>
      <c r="L98" s="46">
        <v>15.81</v>
      </c>
    </row>
    <row r="99" spans="1:12" x14ac:dyDescent="0.25">
      <c r="A99" s="47" t="str">
        <f t="shared" si="6"/>
        <v>HCTR11</v>
      </c>
      <c r="B99" s="92" t="s">
        <v>1662</v>
      </c>
      <c r="C99" s="47" t="str">
        <f t="shared" si="7"/>
        <v>OUTUBRO</v>
      </c>
      <c r="D99" s="47">
        <f t="shared" si="8"/>
        <v>2021</v>
      </c>
      <c r="E99" s="60">
        <f>IFERROR(AVERAGEIFS(K:K,A:A,'TAB DIN PROVENTOS B3'!$L$3),"")</f>
        <v>1.2070588235294117</v>
      </c>
      <c r="F99" t="s">
        <v>2437</v>
      </c>
      <c r="G99" s="45" t="s">
        <v>2449</v>
      </c>
      <c r="H99" t="s">
        <v>2412</v>
      </c>
      <c r="I99" t="s">
        <v>2348</v>
      </c>
      <c r="J99" s="36">
        <v>1</v>
      </c>
      <c r="K99" s="46">
        <v>1.6</v>
      </c>
      <c r="L99" s="46">
        <v>75.2</v>
      </c>
    </row>
    <row r="100" spans="1:12" x14ac:dyDescent="0.25">
      <c r="A100" s="47" t="str">
        <f t="shared" si="6"/>
        <v>KNRI11</v>
      </c>
      <c r="B100" s="92" t="s">
        <v>1662</v>
      </c>
      <c r="C100" s="47" t="str">
        <f t="shared" si="7"/>
        <v>OUTUBRO</v>
      </c>
      <c r="D100" s="47">
        <f t="shared" si="8"/>
        <v>2021</v>
      </c>
      <c r="E100" s="60">
        <f>IFERROR(AVERAGEIFS(K:K,A:A,'TAB DIN PROVENTOS B3'!$L$3),"")</f>
        <v>1.2070588235294117</v>
      </c>
      <c r="F100" t="s">
        <v>2419</v>
      </c>
      <c r="G100" s="45" t="s">
        <v>2449</v>
      </c>
      <c r="H100" t="s">
        <v>2412</v>
      </c>
      <c r="I100" t="s">
        <v>2348</v>
      </c>
      <c r="J100" s="36">
        <v>1</v>
      </c>
      <c r="K100" s="46">
        <v>0.77</v>
      </c>
      <c r="L100" s="46">
        <v>10.01</v>
      </c>
    </row>
    <row r="101" spans="1:12" x14ac:dyDescent="0.25">
      <c r="A101" s="47" t="str">
        <f t="shared" si="6"/>
        <v>VILG11</v>
      </c>
      <c r="B101" s="92" t="s">
        <v>1662</v>
      </c>
      <c r="C101" s="47" t="str">
        <f t="shared" si="7"/>
        <v>OUTUBRO</v>
      </c>
      <c r="D101" s="47">
        <f t="shared" si="8"/>
        <v>2021</v>
      </c>
      <c r="E101" s="60">
        <f>IFERROR(AVERAGEIFS(K:K,A:A,'TAB DIN PROVENTOS B3'!$L$3),"")</f>
        <v>1.2070588235294117</v>
      </c>
      <c r="F101" t="s">
        <v>2438</v>
      </c>
      <c r="G101" s="45" t="s">
        <v>2449</v>
      </c>
      <c r="H101" t="s">
        <v>2412</v>
      </c>
      <c r="I101" t="s">
        <v>2348</v>
      </c>
      <c r="J101" s="36">
        <v>1</v>
      </c>
      <c r="K101" s="46">
        <v>0.64</v>
      </c>
      <c r="L101" s="46">
        <v>7.68</v>
      </c>
    </row>
    <row r="102" spans="1:12" x14ac:dyDescent="0.25">
      <c r="A102" s="47" t="str">
        <f t="shared" si="6"/>
        <v>XPLG11</v>
      </c>
      <c r="B102" s="92" t="s">
        <v>1662</v>
      </c>
      <c r="C102" s="47" t="str">
        <f t="shared" si="7"/>
        <v>OUTUBRO</v>
      </c>
      <c r="D102" s="47">
        <f t="shared" si="8"/>
        <v>2021</v>
      </c>
      <c r="E102" s="60">
        <f>IFERROR(AVERAGEIFS(K:K,A:A,'TAB DIN PROVENTOS B3'!$L$3),"")</f>
        <v>1.2070588235294117</v>
      </c>
      <c r="F102" t="s">
        <v>2423</v>
      </c>
      <c r="G102" s="45" t="s">
        <v>2449</v>
      </c>
      <c r="H102" t="s">
        <v>2412</v>
      </c>
      <c r="I102" t="s">
        <v>2348</v>
      </c>
      <c r="J102" s="36">
        <v>1</v>
      </c>
      <c r="K102" s="46">
        <v>0.62</v>
      </c>
      <c r="L102" s="46">
        <v>33.479999999999997</v>
      </c>
    </row>
    <row r="103" spans="1:12" x14ac:dyDescent="0.25">
      <c r="A103" s="47" t="str">
        <f t="shared" si="6"/>
        <v>ALZR11</v>
      </c>
      <c r="B103" s="92" t="s">
        <v>1662</v>
      </c>
      <c r="C103" s="47" t="str">
        <f t="shared" si="7"/>
        <v>SETEMBRO</v>
      </c>
      <c r="D103" s="47">
        <f t="shared" si="8"/>
        <v>2021</v>
      </c>
      <c r="E103" s="60">
        <f>IFERROR(AVERAGEIFS(K:K,A:A,'TAB DIN PROVENTOS B3'!$L$3),"")</f>
        <v>1.2070588235294117</v>
      </c>
      <c r="F103" t="s">
        <v>2430</v>
      </c>
      <c r="G103" s="45" t="s">
        <v>2450</v>
      </c>
      <c r="H103" t="s">
        <v>2412</v>
      </c>
      <c r="I103" t="s">
        <v>2348</v>
      </c>
      <c r="J103" s="36">
        <v>1</v>
      </c>
      <c r="K103" s="46">
        <v>0.67</v>
      </c>
      <c r="L103" s="46">
        <v>4.71</v>
      </c>
    </row>
    <row r="104" spans="1:12" x14ac:dyDescent="0.25">
      <c r="A104" s="47" t="str">
        <f t="shared" si="6"/>
        <v>BTLG11</v>
      </c>
      <c r="B104" s="92" t="s">
        <v>1662</v>
      </c>
      <c r="C104" s="47" t="str">
        <f t="shared" si="7"/>
        <v>SETEMBRO</v>
      </c>
      <c r="D104" s="47">
        <f t="shared" si="8"/>
        <v>2021</v>
      </c>
      <c r="E104" s="60">
        <f>IFERROR(AVERAGEIFS(K:K,A:A,'TAB DIN PROVENTOS B3'!$L$3),"")</f>
        <v>1.2070588235294117</v>
      </c>
      <c r="F104" t="s">
        <v>2432</v>
      </c>
      <c r="G104" s="45" t="s">
        <v>2450</v>
      </c>
      <c r="H104" t="s">
        <v>2412</v>
      </c>
      <c r="I104" t="s">
        <v>2348</v>
      </c>
      <c r="J104" s="36">
        <v>1</v>
      </c>
      <c r="K104" s="46">
        <v>0.72</v>
      </c>
      <c r="L104" s="46">
        <v>32.4</v>
      </c>
    </row>
    <row r="105" spans="1:12" x14ac:dyDescent="0.25">
      <c r="A105" s="47" t="str">
        <f t="shared" si="6"/>
        <v>IRDM11</v>
      </c>
      <c r="B105" s="92" t="s">
        <v>1662</v>
      </c>
      <c r="C105" s="47" t="str">
        <f t="shared" si="7"/>
        <v>SETEMBRO</v>
      </c>
      <c r="D105" s="47">
        <f t="shared" si="8"/>
        <v>2021</v>
      </c>
      <c r="E105" s="60">
        <f>IFERROR(AVERAGEIFS(K:K,A:A,'TAB DIN PROVENTOS B3'!$L$3),"")</f>
        <v>1.2070588235294117</v>
      </c>
      <c r="F105" t="s">
        <v>2433</v>
      </c>
      <c r="G105" s="45" t="s">
        <v>2451</v>
      </c>
      <c r="H105" t="s">
        <v>2412</v>
      </c>
      <c r="I105" t="s">
        <v>2348</v>
      </c>
      <c r="J105" s="36">
        <v>1</v>
      </c>
      <c r="K105" s="46">
        <v>1.1299999999999999</v>
      </c>
      <c r="L105" s="46">
        <v>15.84</v>
      </c>
    </row>
    <row r="106" spans="1:12" x14ac:dyDescent="0.25">
      <c r="A106" s="47" t="str">
        <f t="shared" si="6"/>
        <v>HCTR11</v>
      </c>
      <c r="B106" s="92" t="s">
        <v>1662</v>
      </c>
      <c r="C106" s="47" t="str">
        <f t="shared" si="7"/>
        <v>SETEMBRO</v>
      </c>
      <c r="D106" s="47">
        <f t="shared" si="8"/>
        <v>2021</v>
      </c>
      <c r="E106" s="60">
        <f>IFERROR(AVERAGEIFS(K:K,A:A,'TAB DIN PROVENTOS B3'!$L$3),"")</f>
        <v>1.2070588235294117</v>
      </c>
      <c r="F106" t="s">
        <v>2437</v>
      </c>
      <c r="G106" s="45" t="s">
        <v>2452</v>
      </c>
      <c r="H106" t="s">
        <v>2412</v>
      </c>
      <c r="I106" t="s">
        <v>2348</v>
      </c>
      <c r="J106" s="36">
        <v>1</v>
      </c>
      <c r="K106" s="46">
        <v>1.5</v>
      </c>
      <c r="L106" s="46">
        <v>55.5</v>
      </c>
    </row>
    <row r="107" spans="1:12" x14ac:dyDescent="0.25">
      <c r="A107" s="47" t="str">
        <f t="shared" si="6"/>
        <v>VILG11</v>
      </c>
      <c r="B107" s="92" t="s">
        <v>1662</v>
      </c>
      <c r="C107" s="47" t="str">
        <f t="shared" si="7"/>
        <v>SETEMBRO</v>
      </c>
      <c r="D107" s="47">
        <f t="shared" si="8"/>
        <v>2021</v>
      </c>
      <c r="E107" s="60">
        <f>IFERROR(AVERAGEIFS(K:K,A:A,'TAB DIN PROVENTOS B3'!$L$3),"")</f>
        <v>1.2070588235294117</v>
      </c>
      <c r="F107" t="s">
        <v>2438</v>
      </c>
      <c r="G107" s="45" t="s">
        <v>2452</v>
      </c>
      <c r="H107" t="s">
        <v>2412</v>
      </c>
      <c r="I107" t="s">
        <v>2348</v>
      </c>
      <c r="J107" s="36">
        <v>1</v>
      </c>
      <c r="K107" s="46">
        <v>0.63</v>
      </c>
      <c r="L107" s="46">
        <v>7.56</v>
      </c>
    </row>
    <row r="108" spans="1:12" x14ac:dyDescent="0.25">
      <c r="A108" s="47" t="str">
        <f t="shared" si="6"/>
        <v>SANB4</v>
      </c>
      <c r="B108" s="92" t="s">
        <v>2344</v>
      </c>
      <c r="C108" s="47" t="str">
        <f t="shared" si="7"/>
        <v>SETEMBRO</v>
      </c>
      <c r="D108" s="47">
        <f t="shared" si="8"/>
        <v>2021</v>
      </c>
      <c r="E108" s="60">
        <f>IFERROR(AVERAGEIFS(K:K,A:A,'TAB DIN PROVENTOS B3'!$L$3),"")</f>
        <v>1.2070588235294117</v>
      </c>
      <c r="F108" t="s">
        <v>2410</v>
      </c>
      <c r="G108" s="45" t="s">
        <v>2453</v>
      </c>
      <c r="H108" t="s">
        <v>2349</v>
      </c>
      <c r="I108" t="s">
        <v>2348</v>
      </c>
      <c r="J108" s="36">
        <v>1</v>
      </c>
      <c r="K108" s="46">
        <v>0.48</v>
      </c>
      <c r="L108" s="46">
        <v>61.28</v>
      </c>
    </row>
    <row r="109" spans="1:12" x14ac:dyDescent="0.25">
      <c r="A109" s="47" t="str">
        <f t="shared" si="6"/>
        <v>IRDM11</v>
      </c>
      <c r="B109" s="92" t="s">
        <v>1662</v>
      </c>
      <c r="C109" s="47" t="str">
        <f t="shared" si="7"/>
        <v>AGOSTO</v>
      </c>
      <c r="D109" s="47">
        <f t="shared" si="8"/>
        <v>2021</v>
      </c>
      <c r="E109" s="60">
        <f>IFERROR(AVERAGEIFS(K:K,A:A,'TAB DIN PROVENTOS B3'!$L$3),"")</f>
        <v>1.2070588235294117</v>
      </c>
      <c r="F109" t="s">
        <v>2433</v>
      </c>
      <c r="G109" s="45" t="s">
        <v>2454</v>
      </c>
      <c r="H109" t="s">
        <v>2412</v>
      </c>
      <c r="I109" t="s">
        <v>2348</v>
      </c>
      <c r="J109" s="36">
        <v>1</v>
      </c>
      <c r="K109" s="46">
        <v>1.1499999999999999</v>
      </c>
      <c r="L109" s="46">
        <v>8.06</v>
      </c>
    </row>
    <row r="110" spans="1:12" x14ac:dyDescent="0.25">
      <c r="A110" s="47" t="str">
        <f t="shared" si="6"/>
        <v>BTLG11</v>
      </c>
      <c r="B110" s="92" t="s">
        <v>1662</v>
      </c>
      <c r="C110" s="47" t="str">
        <f t="shared" si="7"/>
        <v>AGOSTO</v>
      </c>
      <c r="D110" s="47">
        <f t="shared" si="8"/>
        <v>2021</v>
      </c>
      <c r="E110" s="60">
        <f>IFERROR(AVERAGEIFS(K:K,A:A,'TAB DIN PROVENTOS B3'!$L$3),"")</f>
        <v>1.2070588235294117</v>
      </c>
      <c r="F110" t="s">
        <v>2432</v>
      </c>
      <c r="G110" s="45" t="s">
        <v>2455</v>
      </c>
      <c r="H110" t="s">
        <v>2412</v>
      </c>
      <c r="I110" t="s">
        <v>2348</v>
      </c>
      <c r="J110" s="36">
        <v>1</v>
      </c>
      <c r="K110" s="46">
        <v>0.74</v>
      </c>
      <c r="L110" s="46">
        <v>33.299999999999997</v>
      </c>
    </row>
    <row r="111" spans="1:12" x14ac:dyDescent="0.25">
      <c r="A111" s="47" t="str">
        <f t="shared" si="6"/>
        <v>HCTR11</v>
      </c>
      <c r="B111" s="92" t="s">
        <v>1662</v>
      </c>
      <c r="C111" s="47" t="str">
        <f t="shared" si="7"/>
        <v>AGOSTO</v>
      </c>
      <c r="D111" s="47">
        <f t="shared" si="8"/>
        <v>2021</v>
      </c>
      <c r="E111" s="60">
        <f>IFERROR(AVERAGEIFS(K:K,A:A,'TAB DIN PROVENTOS B3'!$L$3),"")</f>
        <v>1.2070588235294117</v>
      </c>
      <c r="F111" t="s">
        <v>2437</v>
      </c>
      <c r="G111" s="45" t="s">
        <v>2455</v>
      </c>
      <c r="H111" t="s">
        <v>2412</v>
      </c>
      <c r="I111" t="s">
        <v>2348</v>
      </c>
      <c r="J111" s="36">
        <v>1</v>
      </c>
      <c r="K111" s="46">
        <v>1.5</v>
      </c>
      <c r="L111" s="46">
        <v>55.5</v>
      </c>
    </row>
    <row r="112" spans="1:12" x14ac:dyDescent="0.25">
      <c r="A112" s="47" t="str">
        <f t="shared" si="6"/>
        <v>VILG11</v>
      </c>
      <c r="B112" s="92" t="s">
        <v>1662</v>
      </c>
      <c r="C112" s="47" t="str">
        <f t="shared" si="7"/>
        <v>AGOSTO</v>
      </c>
      <c r="D112" s="47">
        <f t="shared" si="8"/>
        <v>2021</v>
      </c>
      <c r="E112" s="60">
        <f>IFERROR(AVERAGEIFS(K:K,A:A,'TAB DIN PROVENTOS B3'!$L$3),"")</f>
        <v>1.2070588235294117</v>
      </c>
      <c r="F112" t="s">
        <v>2438</v>
      </c>
      <c r="G112" s="45" t="s">
        <v>2455</v>
      </c>
      <c r="H112" t="s">
        <v>2412</v>
      </c>
      <c r="I112" t="s">
        <v>2348</v>
      </c>
      <c r="J112" s="36">
        <v>1</v>
      </c>
      <c r="K112" s="46">
        <v>0.61</v>
      </c>
      <c r="L112" s="46">
        <v>7.32</v>
      </c>
    </row>
    <row r="113" spans="1:12" x14ac:dyDescent="0.25">
      <c r="A113" s="47" t="str">
        <f t="shared" si="6"/>
        <v>BTLG11</v>
      </c>
      <c r="B113" s="92" t="s">
        <v>1662</v>
      </c>
      <c r="C113" s="47" t="str">
        <f t="shared" si="7"/>
        <v>JULHO</v>
      </c>
      <c r="D113" s="47">
        <f t="shared" si="8"/>
        <v>2021</v>
      </c>
      <c r="E113" s="60">
        <f>IFERROR(AVERAGEIFS(K:K,A:A,'TAB DIN PROVENTOS B3'!$L$3),"")</f>
        <v>1.2070588235294117</v>
      </c>
      <c r="F113" t="s">
        <v>2432</v>
      </c>
      <c r="G113" s="45" t="s">
        <v>2456</v>
      </c>
      <c r="H113" t="s">
        <v>2412</v>
      </c>
      <c r="I113" t="s">
        <v>2348</v>
      </c>
      <c r="J113" s="36">
        <v>1</v>
      </c>
      <c r="K113" s="46">
        <v>0.7</v>
      </c>
      <c r="L113" s="46">
        <v>25.9</v>
      </c>
    </row>
    <row r="114" spans="1:12" x14ac:dyDescent="0.25">
      <c r="A114" s="47" t="str">
        <f t="shared" si="6"/>
        <v>IRDM11</v>
      </c>
      <c r="B114" s="92" t="s">
        <v>1662</v>
      </c>
      <c r="C114" s="47" t="str">
        <f t="shared" si="7"/>
        <v>JULHO</v>
      </c>
      <c r="D114" s="47">
        <f t="shared" si="8"/>
        <v>2021</v>
      </c>
      <c r="E114" s="60">
        <f>IFERROR(AVERAGEIFS(K:K,A:A,'TAB DIN PROVENTOS B3'!$L$3),"")</f>
        <v>1.2070588235294117</v>
      </c>
      <c r="F114" t="s">
        <v>2433</v>
      </c>
      <c r="G114" s="45" t="s">
        <v>2457</v>
      </c>
      <c r="H114" t="s">
        <v>2412</v>
      </c>
      <c r="I114" t="s">
        <v>2348</v>
      </c>
      <c r="J114" s="36">
        <v>1</v>
      </c>
      <c r="K114" s="46">
        <v>0.97</v>
      </c>
      <c r="L114" s="46">
        <v>6.8</v>
      </c>
    </row>
    <row r="115" spans="1:12" x14ac:dyDescent="0.25">
      <c r="A115" s="47" t="str">
        <f t="shared" ref="A115:A137" si="9">MID(F115,1,SEARCH(" ",F115)-1)</f>
        <v>VILG11</v>
      </c>
      <c r="B115" s="92" t="s">
        <v>1662</v>
      </c>
      <c r="C115" s="47" t="str">
        <f t="shared" ref="C115:C138" si="10">UPPER(TEXT(G115,"MMMM"))</f>
        <v>JULHO</v>
      </c>
      <c r="D115" s="47">
        <f t="shared" ref="D115:D138" si="11">YEAR(G115)</f>
        <v>2021</v>
      </c>
      <c r="E115" s="60">
        <f>IFERROR(AVERAGEIFS(K:K,A:A,'TAB DIN PROVENTOS B3'!$L$3),"")</f>
        <v>1.2070588235294117</v>
      </c>
      <c r="F115" t="s">
        <v>2421</v>
      </c>
      <c r="G115" s="45" t="s">
        <v>2458</v>
      </c>
      <c r="H115" t="s">
        <v>2412</v>
      </c>
      <c r="I115" t="s">
        <v>2348</v>
      </c>
      <c r="J115" s="36">
        <v>1</v>
      </c>
      <c r="K115" s="46">
        <v>0.6</v>
      </c>
      <c r="L115" s="46">
        <v>7.2</v>
      </c>
    </row>
    <row r="116" spans="1:12" x14ac:dyDescent="0.25">
      <c r="A116" s="47" t="str">
        <f t="shared" si="9"/>
        <v>CMIG3</v>
      </c>
      <c r="B116" s="92" t="s">
        <v>2344</v>
      </c>
      <c r="C116" s="47" t="str">
        <f t="shared" si="10"/>
        <v>JUNHO</v>
      </c>
      <c r="D116" s="47">
        <f t="shared" si="11"/>
        <v>2021</v>
      </c>
      <c r="E116" s="60">
        <f>IFERROR(AVERAGEIFS(K:K,A:A,'TAB DIN PROVENTOS B3'!$L$3),"")</f>
        <v>1.2070588235294117</v>
      </c>
      <c r="F116" t="s">
        <v>2407</v>
      </c>
      <c r="G116" s="45" t="s">
        <v>2459</v>
      </c>
      <c r="H116" t="s">
        <v>2349</v>
      </c>
      <c r="I116" t="s">
        <v>2348</v>
      </c>
      <c r="J116" s="36">
        <v>1</v>
      </c>
      <c r="K116" s="46">
        <v>0.04</v>
      </c>
      <c r="L116" s="46">
        <v>3.5</v>
      </c>
    </row>
    <row r="117" spans="1:12" x14ac:dyDescent="0.25">
      <c r="A117" s="47" t="str">
        <f t="shared" si="9"/>
        <v>CMIG3</v>
      </c>
      <c r="B117" s="92" t="s">
        <v>2344</v>
      </c>
      <c r="C117" s="47" t="str">
        <f t="shared" si="10"/>
        <v>JUNHO</v>
      </c>
      <c r="D117" s="47">
        <f t="shared" si="11"/>
        <v>2021</v>
      </c>
      <c r="E117" s="60">
        <f>IFERROR(AVERAGEIFS(K:K,A:A,'TAB DIN PROVENTOS B3'!$L$3),"")</f>
        <v>1.2070588235294117</v>
      </c>
      <c r="F117" t="s">
        <v>2407</v>
      </c>
      <c r="G117" s="45" t="s">
        <v>2459</v>
      </c>
      <c r="H117" t="s">
        <v>2349</v>
      </c>
      <c r="I117" t="s">
        <v>2348</v>
      </c>
      <c r="J117" s="36">
        <v>1</v>
      </c>
      <c r="K117" s="46">
        <v>0.14000000000000001</v>
      </c>
      <c r="L117" s="46">
        <v>12.62</v>
      </c>
    </row>
    <row r="118" spans="1:12" x14ac:dyDescent="0.25">
      <c r="A118" s="47" t="str">
        <f t="shared" si="9"/>
        <v>CMIG3</v>
      </c>
      <c r="B118" s="92" t="s">
        <v>2344</v>
      </c>
      <c r="C118" s="47" t="str">
        <f t="shared" si="10"/>
        <v>JUNHO</v>
      </c>
      <c r="D118" s="47">
        <f t="shared" si="11"/>
        <v>2021</v>
      </c>
      <c r="E118" s="60">
        <f>IFERROR(AVERAGEIFS(K:K,A:A,'TAB DIN PROVENTOS B3'!$L$3),"")</f>
        <v>1.2070588235294117</v>
      </c>
      <c r="F118" t="s">
        <v>2407</v>
      </c>
      <c r="G118" s="45" t="s">
        <v>2459</v>
      </c>
      <c r="H118" t="s">
        <v>2350</v>
      </c>
      <c r="I118" t="s">
        <v>2348</v>
      </c>
      <c r="J118" s="36">
        <v>1</v>
      </c>
      <c r="K118" s="46">
        <v>0.31</v>
      </c>
      <c r="L118" s="46">
        <v>31.8</v>
      </c>
    </row>
    <row r="119" spans="1:12" x14ac:dyDescent="0.25">
      <c r="A119" s="47" t="str">
        <f t="shared" si="9"/>
        <v>SAPR3</v>
      </c>
      <c r="B119" s="92" t="s">
        <v>2344</v>
      </c>
      <c r="C119" s="47" t="str">
        <f t="shared" si="10"/>
        <v>JUNHO</v>
      </c>
      <c r="D119" s="47">
        <f t="shared" si="11"/>
        <v>2021</v>
      </c>
      <c r="E119" s="60">
        <f>IFERROR(AVERAGEIFS(K:K,A:A,'TAB DIN PROVENTOS B3'!$L$3),"")</f>
        <v>1.2070588235294117</v>
      </c>
      <c r="F119" t="s">
        <v>2460</v>
      </c>
      <c r="G119" s="45" t="s">
        <v>2461</v>
      </c>
      <c r="H119" t="s">
        <v>2349</v>
      </c>
      <c r="I119" t="s">
        <v>2348</v>
      </c>
      <c r="J119" s="36">
        <v>1</v>
      </c>
      <c r="K119" s="46">
        <v>0.09</v>
      </c>
      <c r="L119" s="46">
        <v>7.69</v>
      </c>
    </row>
    <row r="120" spans="1:12" x14ac:dyDescent="0.25">
      <c r="A120" s="47" t="str">
        <f t="shared" si="9"/>
        <v>IRDM11</v>
      </c>
      <c r="B120" s="92" t="s">
        <v>1662</v>
      </c>
      <c r="C120" s="47" t="str">
        <f t="shared" si="10"/>
        <v>JUNHO</v>
      </c>
      <c r="D120" s="47">
        <f t="shared" si="11"/>
        <v>2021</v>
      </c>
      <c r="E120" s="60">
        <f>IFERROR(AVERAGEIFS(K:K,A:A,'TAB DIN PROVENTOS B3'!$L$3),"")</f>
        <v>1.2070588235294117</v>
      </c>
      <c r="F120" t="s">
        <v>2433</v>
      </c>
      <c r="G120" s="45" t="s">
        <v>2462</v>
      </c>
      <c r="H120" t="s">
        <v>2412</v>
      </c>
      <c r="I120" t="s">
        <v>2348</v>
      </c>
      <c r="J120" s="36">
        <v>1</v>
      </c>
      <c r="K120" s="46">
        <v>1.1499999999999999</v>
      </c>
      <c r="L120" s="46">
        <v>8.07</v>
      </c>
    </row>
    <row r="121" spans="1:12" x14ac:dyDescent="0.25">
      <c r="A121" s="47" t="str">
        <f t="shared" si="9"/>
        <v>BCFF11</v>
      </c>
      <c r="B121" s="92" t="s">
        <v>1662</v>
      </c>
      <c r="C121" s="47" t="str">
        <f t="shared" si="10"/>
        <v>JUNHO</v>
      </c>
      <c r="D121" s="47">
        <f t="shared" si="11"/>
        <v>2021</v>
      </c>
      <c r="E121" s="60">
        <f>IFERROR(AVERAGEIFS(K:K,A:A,'TAB DIN PROVENTOS B3'!$L$3),"")</f>
        <v>1.2070588235294117</v>
      </c>
      <c r="F121" t="s">
        <v>2414</v>
      </c>
      <c r="G121" s="45" t="s">
        <v>2463</v>
      </c>
      <c r="H121" t="s">
        <v>2412</v>
      </c>
      <c r="I121" t="s">
        <v>2348</v>
      </c>
      <c r="J121" s="36">
        <v>1</v>
      </c>
      <c r="K121" s="46">
        <v>0.5</v>
      </c>
      <c r="L121" s="46">
        <v>20</v>
      </c>
    </row>
    <row r="122" spans="1:12" x14ac:dyDescent="0.25">
      <c r="A122" s="47" t="str">
        <f t="shared" si="9"/>
        <v>BBAS3</v>
      </c>
      <c r="B122" s="92" t="s">
        <v>2344</v>
      </c>
      <c r="C122" s="47" t="str">
        <f t="shared" si="10"/>
        <v>MAIO</v>
      </c>
      <c r="D122" s="47">
        <f t="shared" si="11"/>
        <v>2021</v>
      </c>
      <c r="E122" s="60">
        <f>IFERROR(AVERAGEIFS(K:K,A:A,'TAB DIN PROVENTOS B3'!$L$3),"")</f>
        <v>1.2070588235294117</v>
      </c>
      <c r="F122" t="s">
        <v>2425</v>
      </c>
      <c r="G122" s="45" t="s">
        <v>2464</v>
      </c>
      <c r="H122" t="s">
        <v>2350</v>
      </c>
      <c r="I122" t="s">
        <v>2348</v>
      </c>
      <c r="J122" s="36">
        <v>1</v>
      </c>
      <c r="K122" s="46">
        <v>7.0000000000000007E-2</v>
      </c>
      <c r="L122" s="46">
        <v>14.27</v>
      </c>
    </row>
    <row r="123" spans="1:12" x14ac:dyDescent="0.25">
      <c r="A123" s="47" t="str">
        <f t="shared" si="9"/>
        <v>BBAS3</v>
      </c>
      <c r="B123" s="92" t="s">
        <v>2344</v>
      </c>
      <c r="C123" s="47" t="str">
        <f t="shared" si="10"/>
        <v>MAIO</v>
      </c>
      <c r="D123" s="47">
        <f t="shared" si="11"/>
        <v>2021</v>
      </c>
      <c r="E123" s="60">
        <f>IFERROR(AVERAGEIFS(K:K,A:A,'TAB DIN PROVENTOS B3'!$L$3),"")</f>
        <v>1.2070588235294117</v>
      </c>
      <c r="F123" t="s">
        <v>2425</v>
      </c>
      <c r="G123" s="45" t="s">
        <v>2464</v>
      </c>
      <c r="H123" t="s">
        <v>2349</v>
      </c>
      <c r="I123" t="s">
        <v>2348</v>
      </c>
      <c r="J123" s="36">
        <v>1</v>
      </c>
      <c r="K123" s="46">
        <v>0.34</v>
      </c>
      <c r="L123" s="46">
        <v>55.51</v>
      </c>
    </row>
    <row r="124" spans="1:12" x14ac:dyDescent="0.25">
      <c r="A124" s="47" t="str">
        <f t="shared" si="9"/>
        <v>TAEE4</v>
      </c>
      <c r="B124" s="92" t="s">
        <v>2344</v>
      </c>
      <c r="C124" s="47" t="str">
        <f t="shared" si="10"/>
        <v>MAIO</v>
      </c>
      <c r="D124" s="47">
        <f t="shared" si="11"/>
        <v>2021</v>
      </c>
      <c r="E124" s="60">
        <f>IFERROR(AVERAGEIFS(K:K,A:A,'TAB DIN PROVENTOS B3'!$L$3),"")</f>
        <v>1.2070588235294117</v>
      </c>
      <c r="F124" t="s">
        <v>2409</v>
      </c>
      <c r="G124" s="45" t="s">
        <v>2465</v>
      </c>
      <c r="H124" t="s">
        <v>2349</v>
      </c>
      <c r="I124" t="s">
        <v>2348</v>
      </c>
      <c r="J124" s="36">
        <v>1</v>
      </c>
      <c r="K124" s="46">
        <v>0.06</v>
      </c>
      <c r="L124" s="46">
        <v>21.38</v>
      </c>
    </row>
    <row r="125" spans="1:12" x14ac:dyDescent="0.25">
      <c r="A125" s="47" t="str">
        <f t="shared" si="9"/>
        <v>TAEE4</v>
      </c>
      <c r="B125" s="92" t="s">
        <v>2344</v>
      </c>
      <c r="C125" s="47" t="str">
        <f t="shared" si="10"/>
        <v>MAIO</v>
      </c>
      <c r="D125" s="47">
        <f t="shared" si="11"/>
        <v>2021</v>
      </c>
      <c r="E125" s="60">
        <f>IFERROR(AVERAGEIFS(K:K,A:A,'TAB DIN PROVENTOS B3'!$L$3),"")</f>
        <v>1.2070588235294117</v>
      </c>
      <c r="F125" t="s">
        <v>2409</v>
      </c>
      <c r="G125" s="45" t="s">
        <v>2465</v>
      </c>
      <c r="H125" t="s">
        <v>2350</v>
      </c>
      <c r="I125" t="s">
        <v>2348</v>
      </c>
      <c r="J125" s="36">
        <v>1</v>
      </c>
      <c r="K125" s="46">
        <v>0.39</v>
      </c>
      <c r="L125" s="46">
        <v>155.41999999999999</v>
      </c>
    </row>
    <row r="126" spans="1:12" x14ac:dyDescent="0.25">
      <c r="A126" s="47" t="str">
        <f t="shared" si="9"/>
        <v>TAEE4</v>
      </c>
      <c r="B126" s="92" t="s">
        <v>2344</v>
      </c>
      <c r="C126" s="47" t="str">
        <f t="shared" si="10"/>
        <v>MAIO</v>
      </c>
      <c r="D126" s="47">
        <f t="shared" si="11"/>
        <v>2021</v>
      </c>
      <c r="E126" s="60">
        <f>IFERROR(AVERAGEIFS(K:K,A:A,'TAB DIN PROVENTOS B3'!$L$3),"")</f>
        <v>1.2070588235294117</v>
      </c>
      <c r="F126" t="s">
        <v>2409</v>
      </c>
      <c r="G126" s="45" t="s">
        <v>2465</v>
      </c>
      <c r="H126" t="s">
        <v>2350</v>
      </c>
      <c r="I126" t="s">
        <v>2348</v>
      </c>
      <c r="J126" s="36">
        <v>1</v>
      </c>
      <c r="K126" s="46">
        <v>0.54</v>
      </c>
      <c r="L126" s="46">
        <v>217.49</v>
      </c>
    </row>
    <row r="127" spans="1:12" x14ac:dyDescent="0.25">
      <c r="A127" s="47" t="str">
        <f t="shared" si="9"/>
        <v>TRPL4</v>
      </c>
      <c r="B127" s="92" t="s">
        <v>2344</v>
      </c>
      <c r="C127" s="47" t="str">
        <f t="shared" si="10"/>
        <v>MAIO</v>
      </c>
      <c r="D127" s="47">
        <f t="shared" si="11"/>
        <v>2021</v>
      </c>
      <c r="E127" s="60">
        <f>IFERROR(AVERAGEIFS(K:K,A:A,'TAB DIN PROVENTOS B3'!$L$3),"")</f>
        <v>1.2070588235294117</v>
      </c>
      <c r="F127" t="s">
        <v>2426</v>
      </c>
      <c r="G127" s="45" t="s">
        <v>2466</v>
      </c>
      <c r="H127" t="s">
        <v>2350</v>
      </c>
      <c r="I127" t="s">
        <v>2348</v>
      </c>
      <c r="J127" s="36">
        <v>1</v>
      </c>
      <c r="K127" s="46">
        <v>0.8</v>
      </c>
      <c r="L127" s="46">
        <v>119.39</v>
      </c>
    </row>
    <row r="128" spans="1:12" x14ac:dyDescent="0.25">
      <c r="A128" s="47" t="str">
        <f t="shared" si="9"/>
        <v>TRPL4</v>
      </c>
      <c r="B128" s="92" t="s">
        <v>2344</v>
      </c>
      <c r="C128" s="47" t="str">
        <f t="shared" si="10"/>
        <v>MAIO</v>
      </c>
      <c r="D128" s="47">
        <f t="shared" si="11"/>
        <v>2021</v>
      </c>
      <c r="E128" s="60">
        <f>IFERROR(AVERAGEIFS(K:K,A:A,'TAB DIN PROVENTOS B3'!$L$3),"")</f>
        <v>1.2070588235294117</v>
      </c>
      <c r="F128" t="s">
        <v>2426</v>
      </c>
      <c r="G128" s="45" t="s">
        <v>2466</v>
      </c>
      <c r="H128" t="s">
        <v>2350</v>
      </c>
      <c r="I128" t="s">
        <v>2348</v>
      </c>
      <c r="J128" s="36">
        <v>1</v>
      </c>
      <c r="K128" s="46">
        <v>0.81</v>
      </c>
      <c r="L128" s="46">
        <v>120.92</v>
      </c>
    </row>
    <row r="129" spans="1:12" x14ac:dyDescent="0.25">
      <c r="A129" s="47" t="str">
        <f t="shared" si="9"/>
        <v>IRDM11</v>
      </c>
      <c r="B129" s="92" t="s">
        <v>1662</v>
      </c>
      <c r="C129" s="47" t="str">
        <f t="shared" si="10"/>
        <v>MAIO</v>
      </c>
      <c r="D129" s="47">
        <f t="shared" si="11"/>
        <v>2021</v>
      </c>
      <c r="E129" s="60">
        <f>IFERROR(AVERAGEIFS(K:K,A:A,'TAB DIN PROVENTOS B3'!$L$3),"")</f>
        <v>1.2070588235294117</v>
      </c>
      <c r="F129" t="s">
        <v>2433</v>
      </c>
      <c r="G129" s="45" t="s">
        <v>2467</v>
      </c>
      <c r="H129" t="s">
        <v>2412</v>
      </c>
      <c r="I129" t="s">
        <v>2348</v>
      </c>
      <c r="J129" s="36">
        <v>1</v>
      </c>
      <c r="K129" s="46">
        <v>1.1599999999999999</v>
      </c>
      <c r="L129" s="46">
        <v>8.11</v>
      </c>
    </row>
    <row r="130" spans="1:12" x14ac:dyDescent="0.25">
      <c r="A130" s="47" t="str">
        <f t="shared" si="9"/>
        <v>BCFF11</v>
      </c>
      <c r="B130" s="92" t="s">
        <v>1662</v>
      </c>
      <c r="C130" s="47" t="str">
        <f t="shared" si="10"/>
        <v>MAIO</v>
      </c>
      <c r="D130" s="47">
        <f t="shared" si="11"/>
        <v>2021</v>
      </c>
      <c r="E130" s="60">
        <f>IFERROR(AVERAGEIFS(K:K,A:A,'TAB DIN PROVENTOS B3'!$L$3),"")</f>
        <v>1.2070588235294117</v>
      </c>
      <c r="F130" t="s">
        <v>2414</v>
      </c>
      <c r="G130" s="45" t="s">
        <v>2468</v>
      </c>
      <c r="H130" t="s">
        <v>2412</v>
      </c>
      <c r="I130" t="s">
        <v>2348</v>
      </c>
      <c r="J130" s="36">
        <v>1</v>
      </c>
      <c r="K130" s="46">
        <v>0.5</v>
      </c>
      <c r="L130" s="46">
        <v>20</v>
      </c>
    </row>
    <row r="131" spans="1:12" x14ac:dyDescent="0.25">
      <c r="A131" s="47" t="str">
        <f t="shared" si="9"/>
        <v>BRCR11</v>
      </c>
      <c r="B131" s="92" t="s">
        <v>1662</v>
      </c>
      <c r="C131" s="47" t="str">
        <f t="shared" si="10"/>
        <v>MAIO</v>
      </c>
      <c r="D131" s="47">
        <f t="shared" si="11"/>
        <v>2021</v>
      </c>
      <c r="E131" s="60">
        <f>IFERROR(AVERAGEIFS(K:K,A:A,'TAB DIN PROVENTOS B3'!$L$3),"")</f>
        <v>1.2070588235294117</v>
      </c>
      <c r="F131" t="s">
        <v>2415</v>
      </c>
      <c r="G131" s="45" t="s">
        <v>2468</v>
      </c>
      <c r="H131" t="s">
        <v>2412</v>
      </c>
      <c r="I131" t="s">
        <v>2348</v>
      </c>
      <c r="J131" s="36">
        <v>1</v>
      </c>
      <c r="K131" s="46">
        <v>0.46</v>
      </c>
      <c r="L131" s="46">
        <v>17.940000000000001</v>
      </c>
    </row>
    <row r="132" spans="1:12" x14ac:dyDescent="0.25">
      <c r="A132" s="47" t="str">
        <f t="shared" si="9"/>
        <v>HGRE11</v>
      </c>
      <c r="B132" s="92" t="s">
        <v>1662</v>
      </c>
      <c r="C132" s="47" t="str">
        <f t="shared" si="10"/>
        <v>MAIO</v>
      </c>
      <c r="D132" s="47">
        <f t="shared" si="11"/>
        <v>2021</v>
      </c>
      <c r="E132" s="60">
        <f>IFERROR(AVERAGEIFS(K:K,A:A,'TAB DIN PROVENTOS B3'!$L$3),"")</f>
        <v>1.2070588235294117</v>
      </c>
      <c r="F132" t="s">
        <v>2417</v>
      </c>
      <c r="G132" s="45" t="s">
        <v>2468</v>
      </c>
      <c r="H132" t="s">
        <v>2412</v>
      </c>
      <c r="I132" t="s">
        <v>2348</v>
      </c>
      <c r="J132" s="36">
        <v>1</v>
      </c>
      <c r="K132" s="46">
        <v>0.67</v>
      </c>
      <c r="L132" s="46">
        <v>9.3800000000000008</v>
      </c>
    </row>
    <row r="133" spans="1:12" x14ac:dyDescent="0.25">
      <c r="A133" s="47" t="str">
        <f t="shared" si="9"/>
        <v>HGRU11</v>
      </c>
      <c r="B133" s="92" t="s">
        <v>1662</v>
      </c>
      <c r="C133" s="47" t="str">
        <f t="shared" si="10"/>
        <v>MAIO</v>
      </c>
      <c r="D133" s="47">
        <f t="shared" si="11"/>
        <v>2021</v>
      </c>
      <c r="E133" s="60">
        <f>IFERROR(AVERAGEIFS(K:K,A:A,'TAB DIN PROVENTOS B3'!$L$3),"")</f>
        <v>1.2070588235294117</v>
      </c>
      <c r="F133" t="s">
        <v>2418</v>
      </c>
      <c r="G133" s="45" t="s">
        <v>2468</v>
      </c>
      <c r="H133" t="s">
        <v>2412</v>
      </c>
      <c r="I133" t="s">
        <v>2348</v>
      </c>
      <c r="J133" s="36">
        <v>1</v>
      </c>
      <c r="K133" s="46">
        <v>0.68</v>
      </c>
      <c r="L133" s="46">
        <v>10.88</v>
      </c>
    </row>
    <row r="134" spans="1:12" x14ac:dyDescent="0.25">
      <c r="A134" s="47" t="str">
        <f t="shared" si="9"/>
        <v>XPML11</v>
      </c>
      <c r="B134" s="92" t="s">
        <v>1662</v>
      </c>
      <c r="C134" s="47" t="str">
        <f t="shared" si="10"/>
        <v>ABRIL</v>
      </c>
      <c r="D134" s="47">
        <f t="shared" si="11"/>
        <v>2021</v>
      </c>
      <c r="E134" s="60">
        <f>IFERROR(AVERAGEIFS(K:K,A:A,'TAB DIN PROVENTOS B3'!$L$3),"")</f>
        <v>1.2070588235294117</v>
      </c>
      <c r="F134" t="s">
        <v>2411</v>
      </c>
      <c r="G134" s="45" t="s">
        <v>2469</v>
      </c>
      <c r="H134" t="s">
        <v>2412</v>
      </c>
      <c r="I134" t="s">
        <v>2348</v>
      </c>
      <c r="J134" s="36">
        <v>1</v>
      </c>
      <c r="K134" s="46">
        <v>0.15</v>
      </c>
      <c r="L134" s="46">
        <v>0.6</v>
      </c>
    </row>
    <row r="135" spans="1:12" x14ac:dyDescent="0.25">
      <c r="A135" s="47" t="str">
        <f t="shared" si="9"/>
        <v>BCFF11</v>
      </c>
      <c r="B135" s="92" t="s">
        <v>1662</v>
      </c>
      <c r="C135" s="47" t="str">
        <f t="shared" si="10"/>
        <v>ABRIL</v>
      </c>
      <c r="D135" s="47">
        <f t="shared" si="11"/>
        <v>2021</v>
      </c>
      <c r="E135" s="60">
        <f>IFERROR(AVERAGEIFS(K:K,A:A,'TAB DIN PROVENTOS B3'!$L$3),"")</f>
        <v>1.2070588235294117</v>
      </c>
      <c r="F135" t="s">
        <v>2414</v>
      </c>
      <c r="G135" s="45" t="s">
        <v>2470</v>
      </c>
      <c r="H135" t="s">
        <v>2412</v>
      </c>
      <c r="I135" t="s">
        <v>2348</v>
      </c>
      <c r="J135" s="36">
        <v>1</v>
      </c>
      <c r="K135" s="46">
        <v>0.56000000000000005</v>
      </c>
      <c r="L135" s="46">
        <v>22.4</v>
      </c>
    </row>
    <row r="136" spans="1:12" x14ac:dyDescent="0.25">
      <c r="A136" s="47" t="str">
        <f t="shared" si="9"/>
        <v>BRCR11</v>
      </c>
      <c r="B136" s="92" t="s">
        <v>1662</v>
      </c>
      <c r="C136" s="47" t="str">
        <f t="shared" si="10"/>
        <v>ABRIL</v>
      </c>
      <c r="D136" s="47">
        <f t="shared" si="11"/>
        <v>2021</v>
      </c>
      <c r="E136" s="60">
        <f>IFERROR(AVERAGEIFS(K:K,A:A,'TAB DIN PROVENTOS B3'!$L$3),"")</f>
        <v>1.2070588235294117</v>
      </c>
      <c r="F136" t="s">
        <v>2415</v>
      </c>
      <c r="G136" s="45" t="s">
        <v>2470</v>
      </c>
      <c r="H136" t="s">
        <v>2412</v>
      </c>
      <c r="I136" t="s">
        <v>2348</v>
      </c>
      <c r="J136" s="36">
        <v>1</v>
      </c>
      <c r="K136" s="46">
        <v>0.46</v>
      </c>
      <c r="L136" s="46">
        <v>17.940000000000001</v>
      </c>
    </row>
    <row r="137" spans="1:12" x14ac:dyDescent="0.25">
      <c r="A137" s="47" t="str">
        <f t="shared" si="9"/>
        <v>HGLG11</v>
      </c>
      <c r="B137" s="92" t="s">
        <v>1662</v>
      </c>
      <c r="C137" s="47" t="str">
        <f t="shared" si="10"/>
        <v>ABRIL</v>
      </c>
      <c r="D137" s="47">
        <f t="shared" si="11"/>
        <v>2021</v>
      </c>
      <c r="E137" s="60">
        <f>IFERROR(AVERAGEIFS(K:K,A:A,'TAB DIN PROVENTOS B3'!$L$3),"")</f>
        <v>1.2070588235294117</v>
      </c>
      <c r="F137" t="s">
        <v>2416</v>
      </c>
      <c r="G137" s="45" t="s">
        <v>2470</v>
      </c>
      <c r="H137" t="s">
        <v>2412</v>
      </c>
      <c r="I137" t="s">
        <v>2348</v>
      </c>
      <c r="J137" s="36">
        <v>1</v>
      </c>
      <c r="K137" s="46">
        <v>0.78</v>
      </c>
      <c r="L137" s="46">
        <v>9.36</v>
      </c>
    </row>
    <row r="138" spans="1:12" x14ac:dyDescent="0.25">
      <c r="A138" s="47" t="str">
        <f t="shared" ref="A138:A188" si="12">MID(F138,1,SEARCH(" ",F138)-1)</f>
        <v>HGRE11</v>
      </c>
      <c r="B138" s="92" t="s">
        <v>1662</v>
      </c>
      <c r="C138" s="47" t="str">
        <f t="shared" si="10"/>
        <v>ABRIL</v>
      </c>
      <c r="D138" s="47">
        <f t="shared" si="11"/>
        <v>2021</v>
      </c>
      <c r="E138" s="60">
        <f>IFERROR(AVERAGEIFS(K:K,A:A,'TAB DIN PROVENTOS B3'!$L$3),"")</f>
        <v>1.2070588235294117</v>
      </c>
      <c r="F138" t="s">
        <v>2417</v>
      </c>
      <c r="G138" s="45" t="s">
        <v>2470</v>
      </c>
      <c r="H138" t="s">
        <v>2412</v>
      </c>
      <c r="I138" t="s">
        <v>2348</v>
      </c>
      <c r="J138" s="36">
        <v>1</v>
      </c>
      <c r="K138" s="46">
        <v>0.67</v>
      </c>
      <c r="L138" s="46">
        <v>9.3800000000000008</v>
      </c>
    </row>
    <row r="139" spans="1:12" x14ac:dyDescent="0.25">
      <c r="A139" s="47" t="str">
        <f t="shared" si="12"/>
        <v>HGRU11</v>
      </c>
      <c r="B139" s="92" t="s">
        <v>1662</v>
      </c>
      <c r="C139" s="47" t="str">
        <f t="shared" ref="C139:C179" si="13">UPPER(TEXT(G139,"MMMM"))</f>
        <v>ABRIL</v>
      </c>
      <c r="D139" s="47">
        <f t="shared" ref="D139:D179" si="14">YEAR(G139)</f>
        <v>2021</v>
      </c>
      <c r="E139" s="60">
        <f>IFERROR(AVERAGEIFS(K:K,A:A,'TAB DIN PROVENTOS B3'!$L$3),"")</f>
        <v>1.2070588235294117</v>
      </c>
      <c r="F139" t="s">
        <v>2418</v>
      </c>
      <c r="G139" s="45" t="s">
        <v>2470</v>
      </c>
      <c r="H139" t="s">
        <v>2412</v>
      </c>
      <c r="I139" t="s">
        <v>2348</v>
      </c>
      <c r="J139" s="36">
        <v>1</v>
      </c>
      <c r="K139" s="46">
        <v>0.68</v>
      </c>
      <c r="L139" s="46">
        <v>10.88</v>
      </c>
    </row>
    <row r="140" spans="1:12" x14ac:dyDescent="0.25">
      <c r="A140" s="47" t="str">
        <f t="shared" si="12"/>
        <v>LVBI11</v>
      </c>
      <c r="B140" s="92" t="s">
        <v>1662</v>
      </c>
      <c r="C140" s="47" t="str">
        <f t="shared" si="13"/>
        <v>ABRIL</v>
      </c>
      <c r="D140" s="47">
        <f t="shared" si="14"/>
        <v>2021</v>
      </c>
      <c r="E140" s="60">
        <f>IFERROR(AVERAGEIFS(K:K,A:A,'TAB DIN PROVENTOS B3'!$L$3),"")</f>
        <v>1.2070588235294117</v>
      </c>
      <c r="F140" t="s">
        <v>2424</v>
      </c>
      <c r="G140" s="45" t="s">
        <v>2471</v>
      </c>
      <c r="H140" t="s">
        <v>2412</v>
      </c>
      <c r="I140" t="s">
        <v>2348</v>
      </c>
      <c r="J140" s="36">
        <v>1</v>
      </c>
      <c r="K140" s="46">
        <v>0.52</v>
      </c>
      <c r="L140" s="46">
        <v>5.2</v>
      </c>
    </row>
    <row r="141" spans="1:12" x14ac:dyDescent="0.25">
      <c r="A141" s="47" t="str">
        <f t="shared" si="12"/>
        <v>XPML11</v>
      </c>
      <c r="B141" s="92" t="s">
        <v>1662</v>
      </c>
      <c r="C141" s="47" t="str">
        <f t="shared" si="13"/>
        <v>MARÇO</v>
      </c>
      <c r="D141" s="47">
        <f t="shared" si="14"/>
        <v>2021</v>
      </c>
      <c r="E141" s="60">
        <f>IFERROR(AVERAGEIFS(K:K,A:A,'TAB DIN PROVENTOS B3'!$L$3),"")</f>
        <v>1.2070588235294117</v>
      </c>
      <c r="F141" t="s">
        <v>2411</v>
      </c>
      <c r="G141" s="45" t="s">
        <v>2472</v>
      </c>
      <c r="H141" t="s">
        <v>2412</v>
      </c>
      <c r="I141" t="s">
        <v>2348</v>
      </c>
      <c r="J141" s="36">
        <v>1</v>
      </c>
      <c r="K141" s="46">
        <v>0.25</v>
      </c>
      <c r="L141" s="46">
        <v>1</v>
      </c>
    </row>
    <row r="142" spans="1:12" x14ac:dyDescent="0.25">
      <c r="A142" s="47" t="str">
        <f t="shared" si="12"/>
        <v>BTLG11</v>
      </c>
      <c r="B142" s="92" t="s">
        <v>1662</v>
      </c>
      <c r="C142" s="47" t="str">
        <f t="shared" si="13"/>
        <v>MARÇO</v>
      </c>
      <c r="D142" s="47">
        <f t="shared" si="14"/>
        <v>2021</v>
      </c>
      <c r="E142" s="60">
        <f>IFERROR(AVERAGEIFS(K:K,A:A,'TAB DIN PROVENTOS B3'!$L$3),"")</f>
        <v>1.2070588235294117</v>
      </c>
      <c r="F142" t="s">
        <v>2432</v>
      </c>
      <c r="G142" s="45" t="s">
        <v>2473</v>
      </c>
      <c r="H142" t="s">
        <v>2412</v>
      </c>
      <c r="I142" t="s">
        <v>2348</v>
      </c>
      <c r="J142" s="36">
        <v>1</v>
      </c>
      <c r="K142" s="46">
        <v>0.6</v>
      </c>
      <c r="L142" s="46">
        <v>4.8</v>
      </c>
    </row>
    <row r="143" spans="1:12" x14ac:dyDescent="0.25">
      <c r="A143" s="47" t="str">
        <f t="shared" si="12"/>
        <v>RBVA11</v>
      </c>
      <c r="B143" s="92" t="s">
        <v>1662</v>
      </c>
      <c r="C143" s="47" t="str">
        <f t="shared" si="13"/>
        <v>MARÇO</v>
      </c>
      <c r="D143" s="47">
        <f t="shared" si="14"/>
        <v>2021</v>
      </c>
      <c r="E143" s="60">
        <f>IFERROR(AVERAGEIFS(K:K,A:A,'TAB DIN PROVENTOS B3'!$L$3),"")</f>
        <v>1.2070588235294117</v>
      </c>
      <c r="F143" t="s">
        <v>2413</v>
      </c>
      <c r="G143" s="45" t="s">
        <v>2474</v>
      </c>
      <c r="H143" t="s">
        <v>2412</v>
      </c>
      <c r="I143" t="s">
        <v>2348</v>
      </c>
      <c r="J143" s="36">
        <v>1</v>
      </c>
      <c r="K143" s="46">
        <v>0.85</v>
      </c>
      <c r="L143" s="46">
        <v>19.55</v>
      </c>
    </row>
    <row r="144" spans="1:12" x14ac:dyDescent="0.25">
      <c r="A144" s="47" t="str">
        <f t="shared" si="12"/>
        <v>BRCR11</v>
      </c>
      <c r="B144" s="92" t="s">
        <v>1662</v>
      </c>
      <c r="C144" s="47" t="str">
        <f t="shared" si="13"/>
        <v>MARÇO</v>
      </c>
      <c r="D144" s="47">
        <f t="shared" si="14"/>
        <v>2021</v>
      </c>
      <c r="E144" s="60">
        <f>IFERROR(AVERAGEIFS(K:K,A:A,'TAB DIN PROVENTOS B3'!$L$3),"")</f>
        <v>1.2070588235294117</v>
      </c>
      <c r="F144" t="s">
        <v>2415</v>
      </c>
      <c r="G144" s="45" t="s">
        <v>2475</v>
      </c>
      <c r="H144" t="s">
        <v>2412</v>
      </c>
      <c r="I144" t="s">
        <v>2348</v>
      </c>
      <c r="J144" s="36">
        <v>1</v>
      </c>
      <c r="K144" s="46">
        <v>0.48</v>
      </c>
      <c r="L144" s="46">
        <v>7.68</v>
      </c>
    </row>
    <row r="145" spans="1:12" x14ac:dyDescent="0.25">
      <c r="A145" s="47" t="str">
        <f t="shared" si="12"/>
        <v>HGLG11</v>
      </c>
      <c r="B145" s="92" t="s">
        <v>1662</v>
      </c>
      <c r="C145" s="47" t="str">
        <f t="shared" si="13"/>
        <v>MARÇO</v>
      </c>
      <c r="D145" s="47">
        <f t="shared" si="14"/>
        <v>2021</v>
      </c>
      <c r="E145" s="60">
        <f>IFERROR(AVERAGEIFS(K:K,A:A,'TAB DIN PROVENTOS B3'!$L$3),"")</f>
        <v>1.2070588235294117</v>
      </c>
      <c r="F145" t="s">
        <v>2416</v>
      </c>
      <c r="G145" s="45" t="s">
        <v>2475</v>
      </c>
      <c r="H145" t="s">
        <v>2412</v>
      </c>
      <c r="I145" t="s">
        <v>2348</v>
      </c>
      <c r="J145" s="36">
        <v>1</v>
      </c>
      <c r="K145" s="46">
        <v>0.78</v>
      </c>
      <c r="L145" s="46">
        <v>9.36</v>
      </c>
    </row>
    <row r="146" spans="1:12" x14ac:dyDescent="0.25">
      <c r="A146" s="47" t="str">
        <f t="shared" si="12"/>
        <v>HGRE11</v>
      </c>
      <c r="B146" s="92" t="s">
        <v>1662</v>
      </c>
      <c r="C146" s="47" t="str">
        <f t="shared" si="13"/>
        <v>MARÇO</v>
      </c>
      <c r="D146" s="47">
        <f t="shared" si="14"/>
        <v>2021</v>
      </c>
      <c r="E146" s="60">
        <f>IFERROR(AVERAGEIFS(K:K,A:A,'TAB DIN PROVENTOS B3'!$L$3),"")</f>
        <v>1.2070588235294117</v>
      </c>
      <c r="F146" t="s">
        <v>2417</v>
      </c>
      <c r="G146" s="45" t="s">
        <v>2475</v>
      </c>
      <c r="H146" t="s">
        <v>2412</v>
      </c>
      <c r="I146" t="s">
        <v>2348</v>
      </c>
      <c r="J146" s="36">
        <v>1</v>
      </c>
      <c r="K146" s="46">
        <v>0.67</v>
      </c>
      <c r="L146" s="46">
        <v>9.3800000000000008</v>
      </c>
    </row>
    <row r="147" spans="1:12" x14ac:dyDescent="0.25">
      <c r="A147" s="47" t="str">
        <f t="shared" si="12"/>
        <v>HGRU11</v>
      </c>
      <c r="B147" s="92" t="s">
        <v>1662</v>
      </c>
      <c r="C147" s="47" t="str">
        <f t="shared" si="13"/>
        <v>MARÇO</v>
      </c>
      <c r="D147" s="47">
        <f t="shared" si="14"/>
        <v>2021</v>
      </c>
      <c r="E147" s="60">
        <f>IFERROR(AVERAGEIFS(K:K,A:A,'TAB DIN PROVENTOS B3'!$L$3),"")</f>
        <v>1.2070588235294117</v>
      </c>
      <c r="F147" t="s">
        <v>2418</v>
      </c>
      <c r="G147" s="45" t="s">
        <v>2475</v>
      </c>
      <c r="H147" t="s">
        <v>2412</v>
      </c>
      <c r="I147" t="s">
        <v>2348</v>
      </c>
      <c r="J147" s="36">
        <v>1</v>
      </c>
      <c r="K147" s="46">
        <v>0.68</v>
      </c>
      <c r="L147" s="46">
        <v>10.88</v>
      </c>
    </row>
    <row r="148" spans="1:12" x14ac:dyDescent="0.25">
      <c r="A148" s="47" t="str">
        <f t="shared" si="12"/>
        <v>KNRI11</v>
      </c>
      <c r="B148" s="92" t="s">
        <v>1662</v>
      </c>
      <c r="C148" s="47" t="str">
        <f t="shared" si="13"/>
        <v>MARÇO</v>
      </c>
      <c r="D148" s="47">
        <f t="shared" si="14"/>
        <v>2021</v>
      </c>
      <c r="E148" s="60">
        <f>IFERROR(AVERAGEIFS(K:K,A:A,'TAB DIN PROVENTOS B3'!$L$3),"")</f>
        <v>1.2070588235294117</v>
      </c>
      <c r="F148" t="s">
        <v>2419</v>
      </c>
      <c r="G148" s="45" t="s">
        <v>2475</v>
      </c>
      <c r="H148" t="s">
        <v>2412</v>
      </c>
      <c r="I148" t="s">
        <v>2348</v>
      </c>
      <c r="J148" s="36">
        <v>1</v>
      </c>
      <c r="K148" s="46">
        <v>0.69</v>
      </c>
      <c r="L148" s="46">
        <v>8.9700000000000006</v>
      </c>
    </row>
    <row r="149" spans="1:12" x14ac:dyDescent="0.25">
      <c r="A149" s="47" t="str">
        <f t="shared" si="12"/>
        <v>MXRF11</v>
      </c>
      <c r="B149" s="92" t="s">
        <v>1662</v>
      </c>
      <c r="C149" s="47" t="str">
        <f t="shared" si="13"/>
        <v>MARÇO</v>
      </c>
      <c r="D149" s="47">
        <f t="shared" si="14"/>
        <v>2021</v>
      </c>
      <c r="E149" s="60">
        <f>IFERROR(AVERAGEIFS(K:K,A:A,'TAB DIN PROVENTOS B3'!$L$3),"")</f>
        <v>1.2070588235294117</v>
      </c>
      <c r="F149" t="s">
        <v>2420</v>
      </c>
      <c r="G149" s="45" t="s">
        <v>2475</v>
      </c>
      <c r="H149" t="s">
        <v>2412</v>
      </c>
      <c r="I149" t="s">
        <v>2348</v>
      </c>
      <c r="J149" s="36">
        <v>1</v>
      </c>
      <c r="K149" s="46">
        <v>0.08</v>
      </c>
      <c r="L149" s="46">
        <v>16.88</v>
      </c>
    </row>
    <row r="150" spans="1:12" x14ac:dyDescent="0.25">
      <c r="A150" s="47" t="str">
        <f t="shared" si="12"/>
        <v>VILG11</v>
      </c>
      <c r="B150" s="92" t="s">
        <v>1662</v>
      </c>
      <c r="C150" s="47" t="str">
        <f t="shared" si="13"/>
        <v>MARÇO</v>
      </c>
      <c r="D150" s="47">
        <f t="shared" si="14"/>
        <v>2021</v>
      </c>
      <c r="E150" s="60">
        <f>IFERROR(AVERAGEIFS(K:K,A:A,'TAB DIN PROVENTOS B3'!$L$3),"")</f>
        <v>1.2070588235294117</v>
      </c>
      <c r="F150" t="s">
        <v>2421</v>
      </c>
      <c r="G150" s="45" t="s">
        <v>2475</v>
      </c>
      <c r="H150" t="s">
        <v>2412</v>
      </c>
      <c r="I150" t="s">
        <v>2348</v>
      </c>
      <c r="J150" s="36">
        <v>1</v>
      </c>
      <c r="K150" s="46">
        <v>0.6</v>
      </c>
      <c r="L150" s="46">
        <v>6</v>
      </c>
    </row>
    <row r="151" spans="1:12" x14ac:dyDescent="0.25">
      <c r="A151" s="47" t="str">
        <f t="shared" si="12"/>
        <v>VINO11</v>
      </c>
      <c r="B151" s="92" t="s">
        <v>1662</v>
      </c>
      <c r="C151" s="47" t="str">
        <f t="shared" si="13"/>
        <v>MARÇO</v>
      </c>
      <c r="D151" s="47">
        <f t="shared" si="14"/>
        <v>2021</v>
      </c>
      <c r="E151" s="60">
        <f>IFERROR(AVERAGEIFS(K:K,A:A,'TAB DIN PROVENTOS B3'!$L$3),"")</f>
        <v>1.2070588235294117</v>
      </c>
      <c r="F151" t="s">
        <v>2422</v>
      </c>
      <c r="G151" s="45" t="s">
        <v>2475</v>
      </c>
      <c r="H151" t="s">
        <v>2412</v>
      </c>
      <c r="I151" t="s">
        <v>2348</v>
      </c>
      <c r="J151" s="36">
        <v>1</v>
      </c>
      <c r="K151" s="46">
        <v>0.45</v>
      </c>
      <c r="L151" s="46">
        <v>14.85</v>
      </c>
    </row>
    <row r="152" spans="1:12" x14ac:dyDescent="0.25">
      <c r="A152" s="47" t="str">
        <f t="shared" si="12"/>
        <v>XPLG11</v>
      </c>
      <c r="B152" s="92" t="s">
        <v>1662</v>
      </c>
      <c r="C152" s="47" t="str">
        <f t="shared" si="13"/>
        <v>MARÇO</v>
      </c>
      <c r="D152" s="47">
        <f t="shared" si="14"/>
        <v>2021</v>
      </c>
      <c r="E152" s="60">
        <f>IFERROR(AVERAGEIFS(K:K,A:A,'TAB DIN PROVENTOS B3'!$L$3),"")</f>
        <v>1.2070588235294117</v>
      </c>
      <c r="F152" t="s">
        <v>2423</v>
      </c>
      <c r="G152" s="45" t="s">
        <v>2475</v>
      </c>
      <c r="H152" t="s">
        <v>2412</v>
      </c>
      <c r="I152" t="s">
        <v>2348</v>
      </c>
      <c r="J152" s="36">
        <v>1</v>
      </c>
      <c r="K152" s="46">
        <v>0.57999999999999996</v>
      </c>
      <c r="L152" s="46">
        <v>9.86</v>
      </c>
    </row>
    <row r="153" spans="1:12" x14ac:dyDescent="0.25">
      <c r="A153" s="47" t="str">
        <f t="shared" si="12"/>
        <v>LVBI11</v>
      </c>
      <c r="B153" s="92" t="s">
        <v>1662</v>
      </c>
      <c r="C153" s="47" t="str">
        <f t="shared" si="13"/>
        <v>MARÇO</v>
      </c>
      <c r="D153" s="47">
        <f t="shared" si="14"/>
        <v>2021</v>
      </c>
      <c r="E153" s="60">
        <f>IFERROR(AVERAGEIFS(K:K,A:A,'TAB DIN PROVENTOS B3'!$L$3),"")</f>
        <v>1.2070588235294117</v>
      </c>
      <c r="F153" t="s">
        <v>2424</v>
      </c>
      <c r="G153" s="45" t="s">
        <v>2476</v>
      </c>
      <c r="H153" t="s">
        <v>2412</v>
      </c>
      <c r="I153" t="s">
        <v>2348</v>
      </c>
      <c r="J153" s="36">
        <v>1</v>
      </c>
      <c r="K153" s="46">
        <v>0.47</v>
      </c>
      <c r="L153" s="46">
        <v>4.7</v>
      </c>
    </row>
    <row r="154" spans="1:12" x14ac:dyDescent="0.25">
      <c r="A154" s="47" t="str">
        <f t="shared" si="12"/>
        <v>BBAS3</v>
      </c>
      <c r="B154" s="92" t="s">
        <v>2344</v>
      </c>
      <c r="C154" s="47" t="str">
        <f t="shared" si="13"/>
        <v>MARÇO</v>
      </c>
      <c r="D154" s="47">
        <f t="shared" si="14"/>
        <v>2021</v>
      </c>
      <c r="E154" s="60">
        <f>IFERROR(AVERAGEIFS(K:K,A:A,'TAB DIN PROVENTOS B3'!$L$3),"")</f>
        <v>1.2070588235294117</v>
      </c>
      <c r="F154" t="s">
        <v>2425</v>
      </c>
      <c r="G154" s="45" t="s">
        <v>2477</v>
      </c>
      <c r="H154" t="s">
        <v>2349</v>
      </c>
      <c r="I154" t="s">
        <v>2348</v>
      </c>
      <c r="J154" s="36">
        <v>1</v>
      </c>
      <c r="K154" s="46">
        <v>0.43</v>
      </c>
      <c r="L154" s="46">
        <v>36.94</v>
      </c>
    </row>
    <row r="155" spans="1:12" x14ac:dyDescent="0.25">
      <c r="A155" s="47" t="str">
        <f t="shared" si="12"/>
        <v>XPML11</v>
      </c>
      <c r="B155" s="92" t="s">
        <v>1662</v>
      </c>
      <c r="C155" s="47" t="str">
        <f t="shared" si="13"/>
        <v>FEVEREIRO</v>
      </c>
      <c r="D155" s="47">
        <f t="shared" si="14"/>
        <v>2021</v>
      </c>
      <c r="E155" s="60">
        <f>IFERROR(AVERAGEIFS(K:K,A:A,'TAB DIN PROVENTOS B3'!$L$3),"")</f>
        <v>1.2070588235294117</v>
      </c>
      <c r="F155" t="s">
        <v>2411</v>
      </c>
      <c r="G155" s="45" t="s">
        <v>2478</v>
      </c>
      <c r="H155" t="s">
        <v>2412</v>
      </c>
      <c r="I155" t="s">
        <v>2348</v>
      </c>
      <c r="J155" s="36">
        <v>1</v>
      </c>
      <c r="K155" s="46">
        <v>0.35</v>
      </c>
      <c r="L155" s="46">
        <v>1.4</v>
      </c>
    </row>
    <row r="156" spans="1:12" x14ac:dyDescent="0.25">
      <c r="A156" s="47" t="str">
        <f t="shared" si="12"/>
        <v>BRCR11</v>
      </c>
      <c r="B156" s="92" t="s">
        <v>1662</v>
      </c>
      <c r="C156" s="47" t="str">
        <f t="shared" si="13"/>
        <v>FEVEREIRO</v>
      </c>
      <c r="D156" s="47">
        <f t="shared" si="14"/>
        <v>2021</v>
      </c>
      <c r="E156" s="60">
        <f>IFERROR(AVERAGEIFS(K:K,A:A,'TAB DIN PROVENTOS B3'!$L$3),"")</f>
        <v>1.2070588235294117</v>
      </c>
      <c r="F156" t="s">
        <v>2415</v>
      </c>
      <c r="G156" s="45" t="s">
        <v>2479</v>
      </c>
      <c r="H156" t="s">
        <v>2412</v>
      </c>
      <c r="I156" t="s">
        <v>2348</v>
      </c>
      <c r="J156" s="36">
        <v>1</v>
      </c>
      <c r="K156" s="46">
        <v>0.49</v>
      </c>
      <c r="L156" s="46">
        <v>7.84</v>
      </c>
    </row>
    <row r="157" spans="1:12" x14ac:dyDescent="0.25">
      <c r="A157" s="47" t="str">
        <f t="shared" si="12"/>
        <v>HGLG11</v>
      </c>
      <c r="B157" s="92" t="s">
        <v>1662</v>
      </c>
      <c r="C157" s="47" t="str">
        <f t="shared" si="13"/>
        <v>FEVEREIRO</v>
      </c>
      <c r="D157" s="47">
        <f t="shared" si="14"/>
        <v>2021</v>
      </c>
      <c r="E157" s="60">
        <f>IFERROR(AVERAGEIFS(K:K,A:A,'TAB DIN PROVENTOS B3'!$L$3),"")</f>
        <v>1.2070588235294117</v>
      </c>
      <c r="F157" t="s">
        <v>2416</v>
      </c>
      <c r="G157" s="45" t="s">
        <v>2479</v>
      </c>
      <c r="H157" t="s">
        <v>2412</v>
      </c>
      <c r="I157" t="s">
        <v>2348</v>
      </c>
      <c r="J157" s="36">
        <v>1</v>
      </c>
      <c r="K157" s="46">
        <v>0.78</v>
      </c>
      <c r="L157" s="46">
        <v>9.36</v>
      </c>
    </row>
    <row r="158" spans="1:12" x14ac:dyDescent="0.25">
      <c r="A158" s="47" t="str">
        <f t="shared" si="12"/>
        <v>HGRE11</v>
      </c>
      <c r="B158" s="92" t="s">
        <v>1662</v>
      </c>
      <c r="C158" s="47" t="str">
        <f t="shared" si="13"/>
        <v>FEVEREIRO</v>
      </c>
      <c r="D158" s="47">
        <f t="shared" si="14"/>
        <v>2021</v>
      </c>
      <c r="E158" s="60">
        <f>IFERROR(AVERAGEIFS(K:K,A:A,'TAB DIN PROVENTOS B3'!$L$3),"")</f>
        <v>1.2070588235294117</v>
      </c>
      <c r="F158" t="s">
        <v>2417</v>
      </c>
      <c r="G158" s="45" t="s">
        <v>2479</v>
      </c>
      <c r="H158" t="s">
        <v>2412</v>
      </c>
      <c r="I158" t="s">
        <v>2348</v>
      </c>
      <c r="J158" s="36">
        <v>1</v>
      </c>
      <c r="K158" s="46">
        <v>0.67</v>
      </c>
      <c r="L158" s="46">
        <v>9.3800000000000008</v>
      </c>
    </row>
    <row r="159" spans="1:12" x14ac:dyDescent="0.25">
      <c r="A159" s="47" t="str">
        <f t="shared" si="12"/>
        <v>HGRU11</v>
      </c>
      <c r="B159" s="92" t="s">
        <v>1662</v>
      </c>
      <c r="C159" s="47" t="str">
        <f t="shared" si="13"/>
        <v>FEVEREIRO</v>
      </c>
      <c r="D159" s="47">
        <f t="shared" si="14"/>
        <v>2021</v>
      </c>
      <c r="E159" s="60">
        <f>IFERROR(AVERAGEIFS(K:K,A:A,'TAB DIN PROVENTOS B3'!$L$3),"")</f>
        <v>1.2070588235294117</v>
      </c>
      <c r="F159" t="s">
        <v>2418</v>
      </c>
      <c r="G159" s="45" t="s">
        <v>2479</v>
      </c>
      <c r="H159" t="s">
        <v>2412</v>
      </c>
      <c r="I159" t="s">
        <v>2348</v>
      </c>
      <c r="J159" s="36">
        <v>1</v>
      </c>
      <c r="K159" s="46">
        <v>0.68</v>
      </c>
      <c r="L159" s="46">
        <v>10.88</v>
      </c>
    </row>
    <row r="160" spans="1:12" x14ac:dyDescent="0.25">
      <c r="A160" s="47" t="str">
        <f t="shared" si="12"/>
        <v>KNRI11</v>
      </c>
      <c r="B160" s="92" t="s">
        <v>1662</v>
      </c>
      <c r="C160" s="47" t="str">
        <f t="shared" si="13"/>
        <v>FEVEREIRO</v>
      </c>
      <c r="D160" s="47">
        <f t="shared" si="14"/>
        <v>2021</v>
      </c>
      <c r="E160" s="60">
        <f>IFERROR(AVERAGEIFS(K:K,A:A,'TAB DIN PROVENTOS B3'!$L$3),"")</f>
        <v>1.2070588235294117</v>
      </c>
      <c r="F160" t="s">
        <v>2419</v>
      </c>
      <c r="G160" s="45" t="s">
        <v>2479</v>
      </c>
      <c r="H160" t="s">
        <v>2412</v>
      </c>
      <c r="I160" t="s">
        <v>2348</v>
      </c>
      <c r="J160" s="36">
        <v>1</v>
      </c>
      <c r="K160" s="46">
        <v>0.69</v>
      </c>
      <c r="L160" s="46">
        <v>8.9700000000000006</v>
      </c>
    </row>
    <row r="161" spans="1:12" x14ac:dyDescent="0.25">
      <c r="A161" s="47" t="str">
        <f t="shared" si="12"/>
        <v>MXRF11</v>
      </c>
      <c r="B161" s="92" t="s">
        <v>1662</v>
      </c>
      <c r="C161" s="47" t="str">
        <f t="shared" si="13"/>
        <v>FEVEREIRO</v>
      </c>
      <c r="D161" s="47">
        <f t="shared" si="14"/>
        <v>2021</v>
      </c>
      <c r="E161" s="60">
        <f>IFERROR(AVERAGEIFS(K:K,A:A,'TAB DIN PROVENTOS B3'!$L$3),"")</f>
        <v>1.2070588235294117</v>
      </c>
      <c r="F161" t="s">
        <v>2420</v>
      </c>
      <c r="G161" s="45" t="s">
        <v>2479</v>
      </c>
      <c r="H161" t="s">
        <v>2412</v>
      </c>
      <c r="I161" t="s">
        <v>2348</v>
      </c>
      <c r="J161" s="36">
        <v>1</v>
      </c>
      <c r="K161" s="46">
        <v>0.08</v>
      </c>
      <c r="L161" s="46">
        <v>16.88</v>
      </c>
    </row>
    <row r="162" spans="1:12" x14ac:dyDescent="0.25">
      <c r="A162" s="47" t="str">
        <f t="shared" si="12"/>
        <v>RBVA11</v>
      </c>
      <c r="B162" s="92" t="s">
        <v>1662</v>
      </c>
      <c r="C162" s="47" t="str">
        <f t="shared" si="13"/>
        <v>FEVEREIRO</v>
      </c>
      <c r="D162" s="47">
        <f t="shared" si="14"/>
        <v>2021</v>
      </c>
      <c r="E162" s="60">
        <f>IFERROR(AVERAGEIFS(K:K,A:A,'TAB DIN PROVENTOS B3'!$L$3),"")</f>
        <v>1.2070588235294117</v>
      </c>
      <c r="F162" t="s">
        <v>2413</v>
      </c>
      <c r="G162" s="45" t="s">
        <v>2479</v>
      </c>
      <c r="H162" t="s">
        <v>2412</v>
      </c>
      <c r="I162" t="s">
        <v>2348</v>
      </c>
      <c r="J162" s="36">
        <v>1</v>
      </c>
      <c r="K162" s="46">
        <v>0.95</v>
      </c>
      <c r="L162" s="46">
        <v>21.85</v>
      </c>
    </row>
    <row r="163" spans="1:12" x14ac:dyDescent="0.25">
      <c r="A163" s="47" t="str">
        <f t="shared" si="12"/>
        <v>VILG11</v>
      </c>
      <c r="B163" s="92" t="s">
        <v>1662</v>
      </c>
      <c r="C163" s="47" t="str">
        <f t="shared" si="13"/>
        <v>FEVEREIRO</v>
      </c>
      <c r="D163" s="47">
        <f t="shared" si="14"/>
        <v>2021</v>
      </c>
      <c r="E163" s="60">
        <f>IFERROR(AVERAGEIFS(K:K,A:A,'TAB DIN PROVENTOS B3'!$L$3),"")</f>
        <v>1.2070588235294117</v>
      </c>
      <c r="F163" t="s">
        <v>2421</v>
      </c>
      <c r="G163" s="45" t="s">
        <v>2479</v>
      </c>
      <c r="H163" t="s">
        <v>2412</v>
      </c>
      <c r="I163" t="s">
        <v>2348</v>
      </c>
      <c r="J163" s="36">
        <v>1</v>
      </c>
      <c r="K163" s="46">
        <v>0.6</v>
      </c>
      <c r="L163" s="46">
        <v>6</v>
      </c>
    </row>
    <row r="164" spans="1:12" x14ac:dyDescent="0.25">
      <c r="A164" s="47" t="str">
        <f t="shared" si="12"/>
        <v>VINO11</v>
      </c>
      <c r="B164" s="92" t="s">
        <v>1662</v>
      </c>
      <c r="C164" s="47" t="str">
        <f t="shared" si="13"/>
        <v>FEVEREIRO</v>
      </c>
      <c r="D164" s="47">
        <f t="shared" si="14"/>
        <v>2021</v>
      </c>
      <c r="E164" s="60">
        <f>IFERROR(AVERAGEIFS(K:K,A:A,'TAB DIN PROVENTOS B3'!$L$3),"")</f>
        <v>1.2070588235294117</v>
      </c>
      <c r="F164" t="s">
        <v>2422</v>
      </c>
      <c r="G164" s="45" t="s">
        <v>2479</v>
      </c>
      <c r="H164" t="s">
        <v>2412</v>
      </c>
      <c r="I164" t="s">
        <v>2348</v>
      </c>
      <c r="J164" s="36">
        <v>1</v>
      </c>
      <c r="K164" s="46">
        <v>0.45</v>
      </c>
      <c r="L164" s="46">
        <v>14.85</v>
      </c>
    </row>
    <row r="165" spans="1:12" x14ac:dyDescent="0.25">
      <c r="A165" s="47" t="str">
        <f t="shared" si="12"/>
        <v>XPLG11</v>
      </c>
      <c r="B165" s="92" t="s">
        <v>1662</v>
      </c>
      <c r="C165" s="47" t="str">
        <f t="shared" si="13"/>
        <v>FEVEREIRO</v>
      </c>
      <c r="D165" s="47">
        <f t="shared" si="14"/>
        <v>2021</v>
      </c>
      <c r="E165" s="60">
        <f>IFERROR(AVERAGEIFS(K:K,A:A,'TAB DIN PROVENTOS B3'!$L$3),"")</f>
        <v>1.2070588235294117</v>
      </c>
      <c r="F165" t="s">
        <v>2423</v>
      </c>
      <c r="G165" s="45" t="s">
        <v>2479</v>
      </c>
      <c r="H165" t="s">
        <v>2412</v>
      </c>
      <c r="I165" t="s">
        <v>2348</v>
      </c>
      <c r="J165" s="36">
        <v>1</v>
      </c>
      <c r="K165" s="46">
        <v>0.57999999999999996</v>
      </c>
      <c r="L165" s="46">
        <v>9.86</v>
      </c>
    </row>
    <row r="166" spans="1:12" x14ac:dyDescent="0.25">
      <c r="A166" s="47" t="str">
        <f t="shared" si="12"/>
        <v>LVBI11</v>
      </c>
      <c r="B166" s="92" t="s">
        <v>1662</v>
      </c>
      <c r="C166" s="47" t="str">
        <f t="shared" si="13"/>
        <v>FEVEREIRO</v>
      </c>
      <c r="D166" s="47">
        <f t="shared" si="14"/>
        <v>2021</v>
      </c>
      <c r="E166" s="60">
        <f>IFERROR(AVERAGEIFS(K:K,A:A,'TAB DIN PROVENTOS B3'!$L$3),"")</f>
        <v>1.2070588235294117</v>
      </c>
      <c r="F166" t="s">
        <v>2424</v>
      </c>
      <c r="G166" s="45" t="s">
        <v>2480</v>
      </c>
      <c r="H166" t="s">
        <v>2412</v>
      </c>
      <c r="I166" t="s">
        <v>2348</v>
      </c>
      <c r="J166" s="36">
        <v>1</v>
      </c>
      <c r="K166" s="46">
        <v>0.52</v>
      </c>
      <c r="L166" s="46">
        <v>5.2</v>
      </c>
    </row>
    <row r="167" spans="1:12" x14ac:dyDescent="0.25">
      <c r="A167" s="47" t="str">
        <f t="shared" si="12"/>
        <v>XPML11</v>
      </c>
      <c r="B167" s="92" t="s">
        <v>1662</v>
      </c>
      <c r="C167" s="47" t="str">
        <f t="shared" si="13"/>
        <v>JANEIRO</v>
      </c>
      <c r="D167" s="47">
        <f t="shared" si="14"/>
        <v>2021</v>
      </c>
      <c r="E167" s="60">
        <f>IFERROR(AVERAGEIFS(K:K,A:A,'TAB DIN PROVENTOS B3'!$L$3),"")</f>
        <v>1.2070588235294117</v>
      </c>
      <c r="F167" t="s">
        <v>2411</v>
      </c>
      <c r="G167" s="45" t="s">
        <v>2481</v>
      </c>
      <c r="H167" t="s">
        <v>2412</v>
      </c>
      <c r="I167" t="s">
        <v>2348</v>
      </c>
      <c r="J167" s="36">
        <v>1</v>
      </c>
      <c r="K167" s="46">
        <v>0.68</v>
      </c>
      <c r="L167" s="46">
        <v>1.35</v>
      </c>
    </row>
    <row r="168" spans="1:12" x14ac:dyDescent="0.25">
      <c r="A168" s="47" t="str">
        <f t="shared" si="12"/>
        <v>BCFF11</v>
      </c>
      <c r="B168" s="92" t="s">
        <v>1662</v>
      </c>
      <c r="C168" s="47" t="str">
        <f t="shared" si="13"/>
        <v>JANEIRO</v>
      </c>
      <c r="D168" s="47">
        <f t="shared" si="14"/>
        <v>2021</v>
      </c>
      <c r="E168" s="60">
        <f>IFERROR(AVERAGEIFS(K:K,A:A,'TAB DIN PROVENTOS B3'!$L$3),"")</f>
        <v>1.2070588235294117</v>
      </c>
      <c r="F168" t="s">
        <v>2414</v>
      </c>
      <c r="G168" s="45" t="s">
        <v>2482</v>
      </c>
      <c r="H168" t="s">
        <v>2412</v>
      </c>
      <c r="I168" t="s">
        <v>2348</v>
      </c>
      <c r="J168" s="36">
        <v>1</v>
      </c>
      <c r="K168" s="46">
        <v>0.53</v>
      </c>
      <c r="L168" s="46">
        <v>12.19</v>
      </c>
    </row>
    <row r="169" spans="1:12" x14ac:dyDescent="0.25">
      <c r="A169" s="47" t="str">
        <f t="shared" si="12"/>
        <v>BRCR11</v>
      </c>
      <c r="B169" s="92" t="s">
        <v>1662</v>
      </c>
      <c r="C169" s="47" t="str">
        <f t="shared" si="13"/>
        <v>JANEIRO</v>
      </c>
      <c r="D169" s="47">
        <f t="shared" si="14"/>
        <v>2021</v>
      </c>
      <c r="E169" s="60">
        <f>IFERROR(AVERAGEIFS(K:K,A:A,'TAB DIN PROVENTOS B3'!$L$3),"")</f>
        <v>1.2070588235294117</v>
      </c>
      <c r="F169" t="s">
        <v>2415</v>
      </c>
      <c r="G169" s="45" t="s">
        <v>2482</v>
      </c>
      <c r="H169" t="s">
        <v>2412</v>
      </c>
      <c r="I169" t="s">
        <v>2348</v>
      </c>
      <c r="J169" s="36">
        <v>1</v>
      </c>
      <c r="K169" s="46">
        <v>0.5</v>
      </c>
      <c r="L169" s="46">
        <v>8</v>
      </c>
    </row>
    <row r="170" spans="1:12" x14ac:dyDescent="0.25">
      <c r="A170" s="47" t="str">
        <f t="shared" si="12"/>
        <v>HGLG11</v>
      </c>
      <c r="B170" s="92" t="s">
        <v>1662</v>
      </c>
      <c r="C170" s="47" t="str">
        <f t="shared" si="13"/>
        <v>JANEIRO</v>
      </c>
      <c r="D170" s="47">
        <f t="shared" si="14"/>
        <v>2021</v>
      </c>
      <c r="E170" s="60">
        <f>IFERROR(AVERAGEIFS(K:K,A:A,'TAB DIN PROVENTOS B3'!$L$3),"")</f>
        <v>1.2070588235294117</v>
      </c>
      <c r="F170" t="s">
        <v>2416</v>
      </c>
      <c r="G170" s="45" t="s">
        <v>2482</v>
      </c>
      <c r="H170" t="s">
        <v>2412</v>
      </c>
      <c r="I170" t="s">
        <v>2348</v>
      </c>
      <c r="J170" s="36">
        <v>1</v>
      </c>
      <c r="K170" s="46">
        <v>2.63</v>
      </c>
      <c r="L170" s="46">
        <v>31.56</v>
      </c>
    </row>
    <row r="171" spans="1:12" x14ac:dyDescent="0.25">
      <c r="A171" s="47" t="str">
        <f t="shared" si="12"/>
        <v>HGRE11</v>
      </c>
      <c r="B171" s="92" t="s">
        <v>1662</v>
      </c>
      <c r="C171" s="47" t="str">
        <f t="shared" si="13"/>
        <v>JANEIRO</v>
      </c>
      <c r="D171" s="47">
        <f t="shared" si="14"/>
        <v>2021</v>
      </c>
      <c r="E171" s="60">
        <f>IFERROR(AVERAGEIFS(K:K,A:A,'TAB DIN PROVENTOS B3'!$L$3),"")</f>
        <v>1.2070588235294117</v>
      </c>
      <c r="F171" t="s">
        <v>2417</v>
      </c>
      <c r="G171" s="45" t="s">
        <v>2482</v>
      </c>
      <c r="H171" t="s">
        <v>2412</v>
      </c>
      <c r="I171" t="s">
        <v>2348</v>
      </c>
      <c r="J171" s="36">
        <v>1</v>
      </c>
      <c r="K171" s="46">
        <v>0.97</v>
      </c>
      <c r="L171" s="46">
        <v>7.76</v>
      </c>
    </row>
    <row r="172" spans="1:12" x14ac:dyDescent="0.25">
      <c r="A172" s="47" t="str">
        <f t="shared" si="12"/>
        <v>HGRU11</v>
      </c>
      <c r="B172" s="92" t="s">
        <v>1662</v>
      </c>
      <c r="C172" s="47" t="str">
        <f t="shared" si="13"/>
        <v>JANEIRO</v>
      </c>
      <c r="D172" s="47">
        <f t="shared" si="14"/>
        <v>2021</v>
      </c>
      <c r="E172" s="60">
        <f>IFERROR(AVERAGEIFS(K:K,A:A,'TAB DIN PROVENTOS B3'!$L$3),"")</f>
        <v>1.2070588235294117</v>
      </c>
      <c r="F172" t="s">
        <v>2418</v>
      </c>
      <c r="G172" s="45" t="s">
        <v>2482</v>
      </c>
      <c r="H172" t="s">
        <v>2412</v>
      </c>
      <c r="I172" t="s">
        <v>2348</v>
      </c>
      <c r="J172" s="36">
        <v>1</v>
      </c>
      <c r="K172" s="46">
        <v>0.72</v>
      </c>
      <c r="L172" s="46">
        <v>11.52</v>
      </c>
    </row>
    <row r="173" spans="1:12" x14ac:dyDescent="0.25">
      <c r="A173" s="47" t="str">
        <f t="shared" si="12"/>
        <v>KNRI11</v>
      </c>
      <c r="B173" s="92" t="s">
        <v>1662</v>
      </c>
      <c r="C173" s="47" t="str">
        <f t="shared" si="13"/>
        <v>JANEIRO</v>
      </c>
      <c r="D173" s="47">
        <f t="shared" si="14"/>
        <v>2021</v>
      </c>
      <c r="E173" s="60">
        <f>IFERROR(AVERAGEIFS(K:K,A:A,'TAB DIN PROVENTOS B3'!$L$3),"")</f>
        <v>1.2070588235294117</v>
      </c>
      <c r="F173" t="s">
        <v>2419</v>
      </c>
      <c r="G173" s="45" t="s">
        <v>2482</v>
      </c>
      <c r="H173" t="s">
        <v>2412</v>
      </c>
      <c r="I173" t="s">
        <v>2348</v>
      </c>
      <c r="J173" s="36">
        <v>1</v>
      </c>
      <c r="K173" s="46">
        <v>0.65</v>
      </c>
      <c r="L173" s="46">
        <v>8.4499999999999993</v>
      </c>
    </row>
    <row r="174" spans="1:12" x14ac:dyDescent="0.25">
      <c r="A174" s="47" t="str">
        <f t="shared" si="12"/>
        <v>MXRF11</v>
      </c>
      <c r="B174" s="92" t="s">
        <v>1662</v>
      </c>
      <c r="C174" s="47" t="str">
        <f t="shared" si="13"/>
        <v>JANEIRO</v>
      </c>
      <c r="D174" s="47">
        <f t="shared" si="14"/>
        <v>2021</v>
      </c>
      <c r="E174" s="60">
        <f>IFERROR(AVERAGEIFS(K:K,A:A,'TAB DIN PROVENTOS B3'!$L$3),"")</f>
        <v>1.2070588235294117</v>
      </c>
      <c r="F174" t="s">
        <v>2420</v>
      </c>
      <c r="G174" s="45" t="s">
        <v>2482</v>
      </c>
      <c r="H174" t="s">
        <v>2412</v>
      </c>
      <c r="I174" t="s">
        <v>2348</v>
      </c>
      <c r="J174" s="36">
        <v>1</v>
      </c>
      <c r="K174" s="46">
        <v>7.0000000000000007E-2</v>
      </c>
      <c r="L174" s="46">
        <v>13.44</v>
      </c>
    </row>
    <row r="175" spans="1:12" x14ac:dyDescent="0.25">
      <c r="A175" s="47" t="str">
        <f t="shared" si="12"/>
        <v>RBVA11</v>
      </c>
      <c r="B175" s="92" t="s">
        <v>1662</v>
      </c>
      <c r="C175" s="47" t="str">
        <f t="shared" si="13"/>
        <v>JANEIRO</v>
      </c>
      <c r="D175" s="47">
        <f t="shared" si="14"/>
        <v>2021</v>
      </c>
      <c r="E175" s="60">
        <f>IFERROR(AVERAGEIFS(K:K,A:A,'TAB DIN PROVENTOS B3'!$L$3),"")</f>
        <v>1.2070588235294117</v>
      </c>
      <c r="F175" t="s">
        <v>2413</v>
      </c>
      <c r="G175" s="45" t="s">
        <v>2482</v>
      </c>
      <c r="H175" t="s">
        <v>2412</v>
      </c>
      <c r="I175" t="s">
        <v>2348</v>
      </c>
      <c r="J175" s="36">
        <v>1</v>
      </c>
      <c r="K175" s="46">
        <v>0.95</v>
      </c>
      <c r="L175" s="46">
        <v>19</v>
      </c>
    </row>
    <row r="176" spans="1:12" x14ac:dyDescent="0.25">
      <c r="A176" s="47" t="str">
        <f t="shared" si="12"/>
        <v>VILG11</v>
      </c>
      <c r="B176" s="92" t="s">
        <v>1662</v>
      </c>
      <c r="C176" s="47" t="str">
        <f t="shared" si="13"/>
        <v>JANEIRO</v>
      </c>
      <c r="D176" s="47">
        <f t="shared" si="14"/>
        <v>2021</v>
      </c>
      <c r="E176" s="60">
        <f>IFERROR(AVERAGEIFS(K:K,A:A,'TAB DIN PROVENTOS B3'!$L$3),"")</f>
        <v>1.2070588235294117</v>
      </c>
      <c r="F176" t="s">
        <v>2421</v>
      </c>
      <c r="G176" s="45" t="s">
        <v>2482</v>
      </c>
      <c r="H176" t="s">
        <v>2412</v>
      </c>
      <c r="I176" t="s">
        <v>2348</v>
      </c>
      <c r="J176" s="36">
        <v>1</v>
      </c>
      <c r="K176" s="46">
        <v>0.6</v>
      </c>
      <c r="L176" s="46">
        <v>6</v>
      </c>
    </row>
    <row r="177" spans="1:12" x14ac:dyDescent="0.25">
      <c r="A177" s="47" t="str">
        <f t="shared" si="12"/>
        <v>VINO11</v>
      </c>
      <c r="B177" s="92" t="s">
        <v>1662</v>
      </c>
      <c r="C177" s="47" t="str">
        <f t="shared" si="13"/>
        <v>JANEIRO</v>
      </c>
      <c r="D177" s="47">
        <f t="shared" si="14"/>
        <v>2021</v>
      </c>
      <c r="E177" s="60">
        <f>IFERROR(AVERAGEIFS(K:K,A:A,'TAB DIN PROVENTOS B3'!$L$3),"")</f>
        <v>1.2070588235294117</v>
      </c>
      <c r="F177" t="s">
        <v>2422</v>
      </c>
      <c r="G177" s="45" t="s">
        <v>2482</v>
      </c>
      <c r="H177" t="s">
        <v>2412</v>
      </c>
      <c r="I177" t="s">
        <v>2348</v>
      </c>
      <c r="J177" s="36">
        <v>1</v>
      </c>
      <c r="K177" s="46">
        <v>0.42</v>
      </c>
      <c r="L177" s="46">
        <v>13.86</v>
      </c>
    </row>
    <row r="178" spans="1:12" x14ac:dyDescent="0.25">
      <c r="A178" s="47" t="str">
        <f t="shared" si="12"/>
        <v>XPLG11</v>
      </c>
      <c r="B178" s="92" t="s">
        <v>1662</v>
      </c>
      <c r="C178" s="47" t="str">
        <f t="shared" si="13"/>
        <v>JANEIRO</v>
      </c>
      <c r="D178" s="47">
        <f t="shared" si="14"/>
        <v>2021</v>
      </c>
      <c r="E178" s="60">
        <f>IFERROR(AVERAGEIFS(K:K,A:A,'TAB DIN PROVENTOS B3'!$L$3),"")</f>
        <v>1.2070588235294117</v>
      </c>
      <c r="F178" t="s">
        <v>2423</v>
      </c>
      <c r="G178" s="45" t="s">
        <v>2482</v>
      </c>
      <c r="H178" t="s">
        <v>2412</v>
      </c>
      <c r="I178" t="s">
        <v>2348</v>
      </c>
      <c r="J178" s="36">
        <v>1</v>
      </c>
      <c r="K178" s="46">
        <v>0.6</v>
      </c>
      <c r="L178" s="46">
        <v>10.199999999999999</v>
      </c>
    </row>
    <row r="179" spans="1:12" ht="14.25" customHeight="1" x14ac:dyDescent="0.25">
      <c r="A179" s="47" t="str">
        <f t="shared" si="12"/>
        <v>LVBI11</v>
      </c>
      <c r="B179" s="92" t="s">
        <v>1662</v>
      </c>
      <c r="C179" s="47" t="str">
        <f t="shared" si="13"/>
        <v>JANEIRO</v>
      </c>
      <c r="D179" s="47">
        <f t="shared" si="14"/>
        <v>2021</v>
      </c>
      <c r="E179" s="60">
        <f>IFERROR(AVERAGEIFS(K:K,A:A,'TAB DIN PROVENTOS B3'!$L$3),"")</f>
        <v>1.2070588235294117</v>
      </c>
      <c r="F179" t="s">
        <v>2424</v>
      </c>
      <c r="G179" s="45" t="s">
        <v>2483</v>
      </c>
      <c r="H179" t="s">
        <v>2412</v>
      </c>
      <c r="I179" t="s">
        <v>2348</v>
      </c>
      <c r="J179" s="36">
        <v>1</v>
      </c>
      <c r="K179" s="46">
        <v>0.47</v>
      </c>
      <c r="L179" s="46">
        <v>4.7</v>
      </c>
    </row>
    <row r="180" spans="1:12" x14ac:dyDescent="0.25">
      <c r="A180" s="47" t="str">
        <f t="shared" si="12"/>
        <v>BTLG11</v>
      </c>
      <c r="B180" s="92" t="s">
        <v>1662</v>
      </c>
      <c r="C180" s="47" t="str">
        <f t="shared" ref="C180:C219" si="15">UPPER(TEXT(G180,"MMMM"))</f>
        <v>JULHO</v>
      </c>
      <c r="D180" s="47">
        <f t="shared" ref="D180:D219" si="16">YEAR(G180)</f>
        <v>2022</v>
      </c>
      <c r="E180" s="60">
        <f>IFERROR(AVERAGEIFS(K:K,A:A,'TAB DIN PROVENTOS B3'!$L$3),"")</f>
        <v>1.2070588235294117</v>
      </c>
      <c r="F180" t="s">
        <v>2432</v>
      </c>
      <c r="G180" s="45" t="s">
        <v>2489</v>
      </c>
      <c r="H180" t="s">
        <v>2412</v>
      </c>
      <c r="I180" t="s">
        <v>2348</v>
      </c>
      <c r="J180" s="36">
        <v>1</v>
      </c>
      <c r="K180" s="46">
        <v>0.82</v>
      </c>
      <c r="L180" s="46">
        <v>60.68</v>
      </c>
    </row>
    <row r="181" spans="1:12" x14ac:dyDescent="0.25">
      <c r="A181" s="47" t="str">
        <f t="shared" si="12"/>
        <v>XPML11</v>
      </c>
      <c r="B181" s="92" t="s">
        <v>1662</v>
      </c>
      <c r="C181" s="47" t="str">
        <f t="shared" si="15"/>
        <v>JULHO</v>
      </c>
      <c r="D181" s="47">
        <f t="shared" si="16"/>
        <v>2022</v>
      </c>
      <c r="E181" s="60">
        <f>IFERROR(AVERAGEIFS(K:K,A:A,'TAB DIN PROVENTOS B3'!$L$3),"")</f>
        <v>1.2070588235294117</v>
      </c>
      <c r="F181" t="s">
        <v>2411</v>
      </c>
      <c r="G181" s="45" t="s">
        <v>2489</v>
      </c>
      <c r="H181" t="s">
        <v>2412</v>
      </c>
      <c r="I181" t="s">
        <v>2348</v>
      </c>
      <c r="J181" s="36">
        <v>1</v>
      </c>
      <c r="K181" s="46">
        <v>0.69</v>
      </c>
      <c r="L181" s="46">
        <v>62.1</v>
      </c>
    </row>
    <row r="182" spans="1:12" x14ac:dyDescent="0.25">
      <c r="A182" s="47" t="str">
        <f t="shared" si="12"/>
        <v>IRDM11</v>
      </c>
      <c r="B182" s="92" t="s">
        <v>1662</v>
      </c>
      <c r="C182" s="47" t="str">
        <f t="shared" si="15"/>
        <v>JULHO</v>
      </c>
      <c r="D182" s="47">
        <f t="shared" si="16"/>
        <v>2022</v>
      </c>
      <c r="E182" s="60">
        <f>IFERROR(AVERAGEIFS(K:K,A:A,'TAB DIN PROVENTOS B3'!$L$3),"")</f>
        <v>1.2070588235294117</v>
      </c>
      <c r="F182" t="s">
        <v>2433</v>
      </c>
      <c r="G182" s="45" t="s">
        <v>2490</v>
      </c>
      <c r="H182" t="s">
        <v>2412</v>
      </c>
      <c r="I182" t="s">
        <v>2348</v>
      </c>
      <c r="J182" s="36">
        <v>1</v>
      </c>
      <c r="K182" s="46">
        <v>1.29</v>
      </c>
      <c r="L182" s="46">
        <v>87.51</v>
      </c>
    </row>
    <row r="183" spans="1:12" x14ac:dyDescent="0.25">
      <c r="A183" s="47" t="str">
        <f t="shared" si="12"/>
        <v>RBVA11</v>
      </c>
      <c r="B183" s="92" t="s">
        <v>1662</v>
      </c>
      <c r="C183" s="47" t="str">
        <f t="shared" si="15"/>
        <v>JULHO</v>
      </c>
      <c r="D183" s="47">
        <f t="shared" si="16"/>
        <v>2022</v>
      </c>
      <c r="E183" s="60">
        <f>IFERROR(AVERAGEIFS(K:K,A:A,'TAB DIN PROVENTOS B3'!$L$3),"")</f>
        <v>1.2070588235294117</v>
      </c>
      <c r="F183" t="s">
        <v>2413</v>
      </c>
      <c r="G183" s="45" t="s">
        <v>2491</v>
      </c>
      <c r="H183" t="s">
        <v>2412</v>
      </c>
      <c r="I183" t="s">
        <v>2348</v>
      </c>
      <c r="J183" s="36">
        <v>1</v>
      </c>
      <c r="K183" s="46">
        <v>1.1000000000000001</v>
      </c>
      <c r="L183" s="46">
        <v>59.4</v>
      </c>
    </row>
    <row r="184" spans="1:12" x14ac:dyDescent="0.25">
      <c r="A184" s="47" t="str">
        <f t="shared" si="12"/>
        <v>BCFF11</v>
      </c>
      <c r="B184" s="92" t="s">
        <v>1662</v>
      </c>
      <c r="C184" s="47" t="str">
        <f t="shared" si="15"/>
        <v>JULHO</v>
      </c>
      <c r="D184" s="47">
        <f t="shared" si="16"/>
        <v>2022</v>
      </c>
      <c r="E184" s="60">
        <f>IFERROR(AVERAGEIFS(K:K,A:A,'TAB DIN PROVENTOS B3'!$L$3),"")</f>
        <v>1.2070588235294117</v>
      </c>
      <c r="F184" t="s">
        <v>2414</v>
      </c>
      <c r="G184" s="45" t="s">
        <v>2492</v>
      </c>
      <c r="H184" t="s">
        <v>2412</v>
      </c>
      <c r="I184" t="s">
        <v>2348</v>
      </c>
      <c r="J184" s="36">
        <v>1</v>
      </c>
      <c r="K184" s="46">
        <v>0.6</v>
      </c>
      <c r="L184" s="46">
        <v>61.8</v>
      </c>
    </row>
    <row r="185" spans="1:12" x14ac:dyDescent="0.25">
      <c r="A185" s="47" t="str">
        <f t="shared" si="12"/>
        <v>BRCR11</v>
      </c>
      <c r="B185" s="92" t="s">
        <v>1662</v>
      </c>
      <c r="C185" s="47" t="str">
        <f t="shared" si="15"/>
        <v>JULHO</v>
      </c>
      <c r="D185" s="47">
        <f t="shared" si="16"/>
        <v>2022</v>
      </c>
      <c r="E185" s="60">
        <f>IFERROR(AVERAGEIFS(K:K,A:A,'TAB DIN PROVENTOS B3'!$L$3),"")</f>
        <v>1.2070588235294117</v>
      </c>
      <c r="F185" t="s">
        <v>2415</v>
      </c>
      <c r="G185" s="45" t="s">
        <v>2492</v>
      </c>
      <c r="H185" t="s">
        <v>2412</v>
      </c>
      <c r="I185" t="s">
        <v>2348</v>
      </c>
      <c r="J185" s="36">
        <v>1</v>
      </c>
      <c r="K185" s="46">
        <v>0.47</v>
      </c>
      <c r="L185" s="46">
        <v>54.99</v>
      </c>
    </row>
    <row r="186" spans="1:12" x14ac:dyDescent="0.25">
      <c r="A186" s="47" t="str">
        <f t="shared" si="12"/>
        <v>HCTR11</v>
      </c>
      <c r="B186" s="92" t="s">
        <v>1662</v>
      </c>
      <c r="C186" s="47" t="str">
        <f t="shared" si="15"/>
        <v>JULHO</v>
      </c>
      <c r="D186" s="47">
        <f t="shared" si="16"/>
        <v>2022</v>
      </c>
      <c r="E186" s="60">
        <f>IFERROR(AVERAGEIFS(K:K,A:A,'TAB DIN PROVENTOS B3'!$L$3),"")</f>
        <v>1.2070588235294117</v>
      </c>
      <c r="F186" t="s">
        <v>2437</v>
      </c>
      <c r="G186" s="45" t="s">
        <v>2492</v>
      </c>
      <c r="H186" t="s">
        <v>2412</v>
      </c>
      <c r="I186" t="s">
        <v>2348</v>
      </c>
      <c r="J186" s="36">
        <v>1</v>
      </c>
      <c r="K186" s="46">
        <v>1.5</v>
      </c>
      <c r="L186" s="46">
        <v>70.5</v>
      </c>
    </row>
    <row r="187" spans="1:12" x14ac:dyDescent="0.25">
      <c r="A187" s="47" t="str">
        <f t="shared" si="12"/>
        <v>HGLG11</v>
      </c>
      <c r="B187" s="92" t="s">
        <v>1662</v>
      </c>
      <c r="C187" s="47" t="str">
        <f t="shared" si="15"/>
        <v>JULHO</v>
      </c>
      <c r="D187" s="47">
        <f t="shared" si="16"/>
        <v>2022</v>
      </c>
      <c r="E187" s="60">
        <f>IFERROR(AVERAGEIFS(K:K,A:A,'TAB DIN PROVENTOS B3'!$L$3),"")</f>
        <v>1.2070588235294117</v>
      </c>
      <c r="F187" t="s">
        <v>2416</v>
      </c>
      <c r="G187" s="45" t="s">
        <v>2492</v>
      </c>
      <c r="H187" t="s">
        <v>2412</v>
      </c>
      <c r="I187" t="s">
        <v>2348</v>
      </c>
      <c r="J187" s="36">
        <v>1</v>
      </c>
      <c r="K187" s="46">
        <v>3.3</v>
      </c>
      <c r="L187" s="46">
        <v>148.5</v>
      </c>
    </row>
    <row r="188" spans="1:12" x14ac:dyDescent="0.25">
      <c r="A188" s="47" t="str">
        <f t="shared" si="12"/>
        <v>HGRE11</v>
      </c>
      <c r="B188" s="92" t="s">
        <v>1662</v>
      </c>
      <c r="C188" s="47" t="str">
        <f t="shared" si="15"/>
        <v>JULHO</v>
      </c>
      <c r="D188" s="47">
        <f t="shared" si="16"/>
        <v>2022</v>
      </c>
      <c r="E188" s="60">
        <f>IFERROR(AVERAGEIFS(K:K,A:A,'TAB DIN PROVENTOS B3'!$L$3),"")</f>
        <v>1.2070588235294117</v>
      </c>
      <c r="F188" t="s">
        <v>2417</v>
      </c>
      <c r="G188" s="45" t="s">
        <v>2492</v>
      </c>
      <c r="H188" t="s">
        <v>2412</v>
      </c>
      <c r="I188" t="s">
        <v>2348</v>
      </c>
      <c r="J188" s="36">
        <v>1</v>
      </c>
      <c r="K188" s="46">
        <v>0.78</v>
      </c>
      <c r="L188" s="46">
        <v>47.58</v>
      </c>
    </row>
    <row r="189" spans="1:12" x14ac:dyDescent="0.25">
      <c r="A189" s="47" t="str">
        <f t="shared" ref="A189:A224" si="17">MID(F189,1,SEARCH(" ",F189)-1)</f>
        <v>HGRU11</v>
      </c>
      <c r="B189" s="92" t="s">
        <v>1662</v>
      </c>
      <c r="C189" s="47" t="str">
        <f t="shared" si="15"/>
        <v>JULHO</v>
      </c>
      <c r="D189" s="47">
        <f t="shared" si="16"/>
        <v>2022</v>
      </c>
      <c r="E189" s="60">
        <f>IFERROR(AVERAGEIFS(K:K,A:A,'TAB DIN PROVENTOS B3'!$L$3),"")</f>
        <v>1.2070588235294117</v>
      </c>
      <c r="F189" t="s">
        <v>2418</v>
      </c>
      <c r="G189" s="45" t="s">
        <v>2492</v>
      </c>
      <c r="H189" t="s">
        <v>2412</v>
      </c>
      <c r="I189" t="s">
        <v>2348</v>
      </c>
      <c r="J189" s="36">
        <v>1</v>
      </c>
      <c r="K189" s="46">
        <v>1.2</v>
      </c>
      <c r="L189" s="46">
        <v>88.8</v>
      </c>
    </row>
    <row r="190" spans="1:12" x14ac:dyDescent="0.25">
      <c r="A190" s="47" t="str">
        <f t="shared" si="17"/>
        <v>KNRI11</v>
      </c>
      <c r="B190" s="92" t="s">
        <v>1662</v>
      </c>
      <c r="C190" s="47" t="str">
        <f t="shared" si="15"/>
        <v>JULHO</v>
      </c>
      <c r="D190" s="47">
        <f t="shared" si="16"/>
        <v>2022</v>
      </c>
      <c r="E190" s="60">
        <f>IFERROR(AVERAGEIFS(K:K,A:A,'TAB DIN PROVENTOS B3'!$L$3),"")</f>
        <v>1.2070588235294117</v>
      </c>
      <c r="F190" t="s">
        <v>2419</v>
      </c>
      <c r="G190" s="45" t="s">
        <v>2492</v>
      </c>
      <c r="H190" t="s">
        <v>2412</v>
      </c>
      <c r="I190" t="s">
        <v>2348</v>
      </c>
      <c r="J190" s="36">
        <v>1</v>
      </c>
      <c r="K190" s="46">
        <v>0.84</v>
      </c>
      <c r="L190" s="46">
        <v>52.08</v>
      </c>
    </row>
    <row r="191" spans="1:12" x14ac:dyDescent="0.25">
      <c r="A191" s="47" t="str">
        <f t="shared" si="17"/>
        <v>MXRF11</v>
      </c>
      <c r="B191" s="92" t="s">
        <v>1662</v>
      </c>
      <c r="C191" s="47" t="str">
        <f t="shared" si="15"/>
        <v>JULHO</v>
      </c>
      <c r="D191" s="47">
        <f t="shared" si="16"/>
        <v>2022</v>
      </c>
      <c r="E191" s="60">
        <f>IFERROR(AVERAGEIFS(K:K,A:A,'TAB DIN PROVENTOS B3'!$L$3),"")</f>
        <v>1.2070588235294117</v>
      </c>
      <c r="F191" t="s">
        <v>2420</v>
      </c>
      <c r="G191" s="45" t="s">
        <v>2492</v>
      </c>
      <c r="H191" t="s">
        <v>2412</v>
      </c>
      <c r="I191" t="s">
        <v>2348</v>
      </c>
      <c r="J191" s="36">
        <v>1</v>
      </c>
      <c r="K191" s="46">
        <v>0.1</v>
      </c>
      <c r="L191" s="46">
        <v>100</v>
      </c>
    </row>
    <row r="192" spans="1:12" x14ac:dyDescent="0.25">
      <c r="A192" s="47" t="str">
        <f t="shared" si="17"/>
        <v>VILG11</v>
      </c>
      <c r="B192" s="92" t="s">
        <v>1662</v>
      </c>
      <c r="C192" s="47" t="str">
        <f t="shared" si="15"/>
        <v>JULHO</v>
      </c>
      <c r="D192" s="47">
        <f t="shared" si="16"/>
        <v>2022</v>
      </c>
      <c r="E192" s="60">
        <f>IFERROR(AVERAGEIFS(K:K,A:A,'TAB DIN PROVENTOS B3'!$L$3),"")</f>
        <v>1.2070588235294117</v>
      </c>
      <c r="F192" t="s">
        <v>2438</v>
      </c>
      <c r="G192" s="45" t="s">
        <v>2492</v>
      </c>
      <c r="H192" t="s">
        <v>2412</v>
      </c>
      <c r="I192" t="s">
        <v>2348</v>
      </c>
      <c r="J192" s="36">
        <v>1</v>
      </c>
      <c r="K192" s="46">
        <v>0.71</v>
      </c>
      <c r="L192" s="46">
        <v>49.7</v>
      </c>
    </row>
    <row r="193" spans="1:12" x14ac:dyDescent="0.25">
      <c r="A193" s="47" t="str">
        <f t="shared" si="17"/>
        <v>VINO11</v>
      </c>
      <c r="B193" s="92" t="s">
        <v>1662</v>
      </c>
      <c r="C193" s="47" t="str">
        <f t="shared" si="15"/>
        <v>JULHO</v>
      </c>
      <c r="D193" s="47">
        <f t="shared" si="16"/>
        <v>2022</v>
      </c>
      <c r="E193" s="60">
        <f>IFERROR(AVERAGEIFS(K:K,A:A,'TAB DIN PROVENTOS B3'!$L$3),"")</f>
        <v>1.2070588235294117</v>
      </c>
      <c r="F193" t="s">
        <v>2422</v>
      </c>
      <c r="G193" s="45" t="s">
        <v>2492</v>
      </c>
      <c r="H193" t="s">
        <v>2412</v>
      </c>
      <c r="I193" t="s">
        <v>2348</v>
      </c>
      <c r="J193" s="36">
        <v>1</v>
      </c>
      <c r="K193" s="46">
        <v>0.34</v>
      </c>
      <c r="L193" s="46">
        <v>58.48</v>
      </c>
    </row>
    <row r="194" spans="1:12" x14ac:dyDescent="0.25">
      <c r="A194" s="47" t="str">
        <f t="shared" si="17"/>
        <v>XPLG11</v>
      </c>
      <c r="B194" s="92" t="s">
        <v>1662</v>
      </c>
      <c r="C194" s="47" t="str">
        <f t="shared" si="15"/>
        <v>JULHO</v>
      </c>
      <c r="D194" s="47">
        <f t="shared" si="16"/>
        <v>2022</v>
      </c>
      <c r="E194" s="60">
        <f>IFERROR(AVERAGEIFS(K:K,A:A,'TAB DIN PROVENTOS B3'!$L$3),"")</f>
        <v>1.2070588235294117</v>
      </c>
      <c r="F194" t="s">
        <v>2423</v>
      </c>
      <c r="G194" s="45" t="s">
        <v>2492</v>
      </c>
      <c r="H194" t="s">
        <v>2412</v>
      </c>
      <c r="I194" t="s">
        <v>2348</v>
      </c>
      <c r="J194" s="36">
        <v>1</v>
      </c>
      <c r="K194" s="46">
        <v>0.7</v>
      </c>
      <c r="L194" s="46">
        <v>56.7</v>
      </c>
    </row>
    <row r="195" spans="1:12" x14ac:dyDescent="0.25">
      <c r="A195" s="47" t="str">
        <f t="shared" si="17"/>
        <v>B3SA3</v>
      </c>
      <c r="B195" s="92" t="s">
        <v>2344</v>
      </c>
      <c r="C195" s="47" t="str">
        <f t="shared" si="15"/>
        <v>JULHO</v>
      </c>
      <c r="D195" s="47">
        <f t="shared" si="16"/>
        <v>2022</v>
      </c>
      <c r="E195" s="60">
        <f>IFERROR(AVERAGEIFS(K:K,A:A,'TAB DIN PROVENTOS B3'!$L$3),"")</f>
        <v>1.2070588235294117</v>
      </c>
      <c r="F195" t="s">
        <v>2427</v>
      </c>
      <c r="G195" s="45" t="s">
        <v>2493</v>
      </c>
      <c r="H195" t="s">
        <v>2349</v>
      </c>
      <c r="I195" t="s">
        <v>2348</v>
      </c>
      <c r="J195" s="36">
        <v>1</v>
      </c>
      <c r="K195" s="46">
        <v>0.06</v>
      </c>
      <c r="L195" s="46">
        <v>49.86</v>
      </c>
    </row>
    <row r="196" spans="1:12" x14ac:dyDescent="0.25">
      <c r="A196" s="47" t="str">
        <f t="shared" si="17"/>
        <v>B3SA3</v>
      </c>
      <c r="B196" s="92" t="s">
        <v>2344</v>
      </c>
      <c r="C196" s="47" t="str">
        <f t="shared" si="15"/>
        <v>JULHO</v>
      </c>
      <c r="D196" s="47">
        <f t="shared" si="16"/>
        <v>2022</v>
      </c>
      <c r="E196" s="60">
        <f>IFERROR(AVERAGEIFS(K:K,A:A,'TAB DIN PROVENTOS B3'!$L$3),"")</f>
        <v>1.2070588235294117</v>
      </c>
      <c r="F196" t="s">
        <v>2427</v>
      </c>
      <c r="G196" s="45" t="s">
        <v>2493</v>
      </c>
      <c r="H196" t="s">
        <v>2350</v>
      </c>
      <c r="I196" t="s">
        <v>2348</v>
      </c>
      <c r="J196" s="36">
        <v>1</v>
      </c>
      <c r="K196" s="46">
        <v>7.0000000000000007E-2</v>
      </c>
      <c r="L196" s="46">
        <v>67.28</v>
      </c>
    </row>
    <row r="197" spans="1:12" x14ac:dyDescent="0.25">
      <c r="A197" s="47" t="str">
        <f t="shared" si="17"/>
        <v>LVBI11</v>
      </c>
      <c r="B197" s="92" t="s">
        <v>1662</v>
      </c>
      <c r="C197" s="47" t="str">
        <f t="shared" si="15"/>
        <v>JULHO</v>
      </c>
      <c r="D197" s="47">
        <f t="shared" si="16"/>
        <v>2022</v>
      </c>
      <c r="E197" s="60">
        <f>IFERROR(AVERAGEIFS(K:K,A:A,'TAB DIN PROVENTOS B3'!$L$3),"")</f>
        <v>1.2070588235294117</v>
      </c>
      <c r="F197" t="s">
        <v>2424</v>
      </c>
      <c r="G197" s="45" t="s">
        <v>2494</v>
      </c>
      <c r="H197" t="s">
        <v>2412</v>
      </c>
      <c r="I197" t="s">
        <v>2348</v>
      </c>
      <c r="J197" s="36">
        <v>1</v>
      </c>
      <c r="K197" s="46">
        <v>0.74</v>
      </c>
      <c r="L197" s="46">
        <v>57.72</v>
      </c>
    </row>
    <row r="198" spans="1:12" x14ac:dyDescent="0.25">
      <c r="A198" s="47" t="str">
        <f t="shared" si="17"/>
        <v>BBAS3</v>
      </c>
      <c r="B198" s="92" t="s">
        <v>2344</v>
      </c>
      <c r="C198" s="47" t="str">
        <f t="shared" si="15"/>
        <v>JUNHO</v>
      </c>
      <c r="D198" s="47">
        <f t="shared" si="16"/>
        <v>2022</v>
      </c>
      <c r="E198" s="60">
        <f>IFERROR(AVERAGEIFS(K:K,A:A,'TAB DIN PROVENTOS B3'!$L$3),"")</f>
        <v>1.2070588235294117</v>
      </c>
      <c r="F198" t="s">
        <v>2425</v>
      </c>
      <c r="G198" s="45" t="s">
        <v>2495</v>
      </c>
      <c r="H198" t="s">
        <v>2349</v>
      </c>
      <c r="I198" t="s">
        <v>2348</v>
      </c>
      <c r="J198" s="36">
        <v>1</v>
      </c>
      <c r="K198" s="46">
        <v>0.25</v>
      </c>
      <c r="L198" s="46">
        <v>63.82</v>
      </c>
    </row>
    <row r="199" spans="1:12" x14ac:dyDescent="0.25">
      <c r="A199" s="47" t="str">
        <f t="shared" si="17"/>
        <v>CMIG3</v>
      </c>
      <c r="B199" s="92" t="s">
        <v>2344</v>
      </c>
      <c r="C199" s="47" t="str">
        <f t="shared" si="15"/>
        <v>JUNHO</v>
      </c>
      <c r="D199" s="47">
        <f t="shared" si="16"/>
        <v>2022</v>
      </c>
      <c r="E199" s="60">
        <f>IFERROR(AVERAGEIFS(K:K,A:A,'TAB DIN PROVENTOS B3'!$L$3),"")</f>
        <v>1.2070588235294117</v>
      </c>
      <c r="F199" t="s">
        <v>2407</v>
      </c>
      <c r="G199" s="45" t="s">
        <v>2495</v>
      </c>
      <c r="H199" t="s">
        <v>2349</v>
      </c>
      <c r="I199" t="s">
        <v>2348</v>
      </c>
      <c r="J199" s="36">
        <v>1</v>
      </c>
      <c r="K199" s="46">
        <v>0.28000000000000003</v>
      </c>
      <c r="L199" s="46">
        <v>27.59</v>
      </c>
    </row>
    <row r="200" spans="1:12" x14ac:dyDescent="0.25">
      <c r="A200" s="47" t="str">
        <f t="shared" si="17"/>
        <v>CMIG3</v>
      </c>
      <c r="B200" s="92" t="s">
        <v>2344</v>
      </c>
      <c r="C200" s="47" t="str">
        <f t="shared" si="15"/>
        <v>JUNHO</v>
      </c>
      <c r="D200" s="47">
        <f t="shared" si="16"/>
        <v>2022</v>
      </c>
      <c r="E200" s="60">
        <f>IFERROR(AVERAGEIFS(K:K,A:A,'TAB DIN PROVENTOS B3'!$L$3),"")</f>
        <v>1.2070588235294117</v>
      </c>
      <c r="F200" t="s">
        <v>2407</v>
      </c>
      <c r="G200" s="45" t="s">
        <v>2495</v>
      </c>
      <c r="H200" t="s">
        <v>2350</v>
      </c>
      <c r="I200" t="s">
        <v>2348</v>
      </c>
      <c r="J200" s="36">
        <v>1</v>
      </c>
      <c r="K200" s="46">
        <v>0.3</v>
      </c>
      <c r="L200" s="46">
        <v>59.74</v>
      </c>
    </row>
    <row r="201" spans="1:12" x14ac:dyDescent="0.25">
      <c r="A201" s="47" t="str">
        <f t="shared" si="17"/>
        <v>SAPR3</v>
      </c>
      <c r="B201" s="92" t="s">
        <v>2344</v>
      </c>
      <c r="C201" s="47" t="str">
        <f t="shared" si="15"/>
        <v>JUNHO</v>
      </c>
      <c r="D201" s="47">
        <f t="shared" si="16"/>
        <v>2022</v>
      </c>
      <c r="E201" s="60">
        <f>IFERROR(AVERAGEIFS(K:K,A:A,'TAB DIN PROVENTOS B3'!$L$3),"")</f>
        <v>1.2070588235294117</v>
      </c>
      <c r="F201" t="s">
        <v>2460</v>
      </c>
      <c r="G201" s="45" t="s">
        <v>2337</v>
      </c>
      <c r="H201" t="s">
        <v>2349</v>
      </c>
      <c r="I201" t="s">
        <v>2348</v>
      </c>
      <c r="J201" s="36">
        <v>1</v>
      </c>
      <c r="K201" s="46">
        <v>0.09</v>
      </c>
      <c r="L201" s="46">
        <v>23.9</v>
      </c>
    </row>
    <row r="202" spans="1:12" x14ac:dyDescent="0.25">
      <c r="A202" s="47" t="str">
        <f t="shared" si="17"/>
        <v>SAPR3</v>
      </c>
      <c r="B202" s="92" t="s">
        <v>2344</v>
      </c>
      <c r="C202" s="47" t="str">
        <f t="shared" si="15"/>
        <v>JUNHO</v>
      </c>
      <c r="D202" s="47">
        <f t="shared" si="16"/>
        <v>2022</v>
      </c>
      <c r="E202" s="60">
        <f>IFERROR(AVERAGEIFS(K:K,A:A,'TAB DIN PROVENTOS B3'!$L$3),"")</f>
        <v>1.2070588235294117</v>
      </c>
      <c r="F202" t="s">
        <v>2460</v>
      </c>
      <c r="G202" s="45" t="s">
        <v>2337</v>
      </c>
      <c r="H202" t="s">
        <v>2349</v>
      </c>
      <c r="I202" t="s">
        <v>2348</v>
      </c>
      <c r="J202" s="36">
        <v>1</v>
      </c>
      <c r="K202" s="46">
        <v>0.11</v>
      </c>
      <c r="L202" s="46">
        <v>55.3</v>
      </c>
    </row>
    <row r="203" spans="1:12" x14ac:dyDescent="0.25">
      <c r="A203" s="47" t="str">
        <f t="shared" si="17"/>
        <v>XPML11</v>
      </c>
      <c r="B203" s="92" t="s">
        <v>1662</v>
      </c>
      <c r="C203" s="47" t="str">
        <f t="shared" si="15"/>
        <v>JUNHO</v>
      </c>
      <c r="D203" s="47">
        <f t="shared" si="16"/>
        <v>2022</v>
      </c>
      <c r="E203" s="60">
        <f>IFERROR(AVERAGEIFS(K:K,A:A,'TAB DIN PROVENTOS B3'!$L$3),"")</f>
        <v>1.2070588235294117</v>
      </c>
      <c r="F203" t="s">
        <v>2411</v>
      </c>
      <c r="G203" s="45" t="s">
        <v>2337</v>
      </c>
      <c r="H203" t="s">
        <v>2412</v>
      </c>
      <c r="I203" t="s">
        <v>2348</v>
      </c>
      <c r="J203" s="36">
        <v>1</v>
      </c>
      <c r="K203" s="46">
        <v>0.68</v>
      </c>
      <c r="L203" s="46">
        <v>61.2</v>
      </c>
    </row>
    <row r="204" spans="1:12" x14ac:dyDescent="0.25">
      <c r="A204" s="47" t="str">
        <f t="shared" si="17"/>
        <v>IRDM11</v>
      </c>
      <c r="B204" s="92" t="s">
        <v>1662</v>
      </c>
      <c r="C204" s="47" t="str">
        <f t="shared" si="15"/>
        <v>JUNHO</v>
      </c>
      <c r="D204" s="47">
        <f t="shared" si="16"/>
        <v>2022</v>
      </c>
      <c r="E204" s="60">
        <f>IFERROR(AVERAGEIFS(K:K,A:A,'TAB DIN PROVENTOS B3'!$L$3),"")</f>
        <v>1.2070588235294117</v>
      </c>
      <c r="F204" t="s">
        <v>2433</v>
      </c>
      <c r="G204" s="45" t="s">
        <v>2496</v>
      </c>
      <c r="H204" t="s">
        <v>2412</v>
      </c>
      <c r="I204" t="s">
        <v>2348</v>
      </c>
      <c r="J204" s="36">
        <v>1</v>
      </c>
      <c r="K204" s="46">
        <v>1.35</v>
      </c>
      <c r="L204" s="46">
        <v>91.96</v>
      </c>
    </row>
    <row r="205" spans="1:12" x14ac:dyDescent="0.25">
      <c r="A205" s="47" t="str">
        <f t="shared" si="17"/>
        <v>BCFF11</v>
      </c>
      <c r="B205" s="92" t="s">
        <v>1662</v>
      </c>
      <c r="C205" s="47" t="str">
        <f t="shared" si="15"/>
        <v>JUNHO</v>
      </c>
      <c r="D205" s="47">
        <f t="shared" si="16"/>
        <v>2022</v>
      </c>
      <c r="E205" s="60">
        <f>IFERROR(AVERAGEIFS(K:K,A:A,'TAB DIN PROVENTOS B3'!$L$3),"")</f>
        <v>1.2070588235294117</v>
      </c>
      <c r="F205" t="s">
        <v>2414</v>
      </c>
      <c r="G205" s="45" t="s">
        <v>2497</v>
      </c>
      <c r="H205" t="s">
        <v>2412</v>
      </c>
      <c r="I205" t="s">
        <v>2348</v>
      </c>
      <c r="J205" s="36">
        <v>1</v>
      </c>
      <c r="K205" s="46">
        <v>0.54</v>
      </c>
      <c r="L205" s="46">
        <v>55.62</v>
      </c>
    </row>
    <row r="206" spans="1:12" x14ac:dyDescent="0.25">
      <c r="A206" s="47" t="str">
        <f t="shared" si="17"/>
        <v>HCTR11</v>
      </c>
      <c r="B206" s="92" t="s">
        <v>1662</v>
      </c>
      <c r="C206" s="47" t="str">
        <f t="shared" si="15"/>
        <v>JUNHO</v>
      </c>
      <c r="D206" s="47">
        <f t="shared" si="16"/>
        <v>2022</v>
      </c>
      <c r="E206" s="60">
        <f>IFERROR(AVERAGEIFS(K:K,A:A,'TAB DIN PROVENTOS B3'!$L$3),"")</f>
        <v>1.2070588235294117</v>
      </c>
      <c r="F206" t="s">
        <v>2437</v>
      </c>
      <c r="G206" s="45" t="s">
        <v>2497</v>
      </c>
      <c r="H206" t="s">
        <v>2412</v>
      </c>
      <c r="I206" t="s">
        <v>2348</v>
      </c>
      <c r="J206" s="36">
        <v>1</v>
      </c>
      <c r="K206" s="46">
        <v>1.77</v>
      </c>
      <c r="L206" s="46">
        <v>83.19</v>
      </c>
    </row>
    <row r="207" spans="1:12" x14ac:dyDescent="0.25">
      <c r="A207" s="47" t="str">
        <f t="shared" si="17"/>
        <v>HGLG11</v>
      </c>
      <c r="B207" s="92" t="s">
        <v>1662</v>
      </c>
      <c r="C207" s="47" t="str">
        <f t="shared" si="15"/>
        <v>JUNHO</v>
      </c>
      <c r="D207" s="47">
        <f t="shared" si="16"/>
        <v>2022</v>
      </c>
      <c r="E207" s="60">
        <f>IFERROR(AVERAGEIFS(K:K,A:A,'TAB DIN PROVENTOS B3'!$L$3),"")</f>
        <v>1.2070588235294117</v>
      </c>
      <c r="F207" t="s">
        <v>2416</v>
      </c>
      <c r="G207" s="45" t="s">
        <v>2497</v>
      </c>
      <c r="H207" t="s">
        <v>2412</v>
      </c>
      <c r="I207" t="s">
        <v>2348</v>
      </c>
      <c r="J207" s="36">
        <v>1</v>
      </c>
      <c r="K207" s="46">
        <v>1.1000000000000001</v>
      </c>
      <c r="L207" s="46">
        <v>41.8</v>
      </c>
    </row>
    <row r="208" spans="1:12" x14ac:dyDescent="0.25">
      <c r="A208" s="47" t="str">
        <f t="shared" si="17"/>
        <v>VILG11</v>
      </c>
      <c r="B208" s="92" t="s">
        <v>1662</v>
      </c>
      <c r="C208" s="47" t="str">
        <f t="shared" si="15"/>
        <v>JUNHO</v>
      </c>
      <c r="D208" s="47">
        <f t="shared" si="16"/>
        <v>2022</v>
      </c>
      <c r="E208" s="60">
        <f>IFERROR(AVERAGEIFS(K:K,A:A,'TAB DIN PROVENTOS B3'!$L$3),"")</f>
        <v>1.2070588235294117</v>
      </c>
      <c r="F208" t="s">
        <v>2438</v>
      </c>
      <c r="G208" s="45" t="s">
        <v>2497</v>
      </c>
      <c r="H208" t="s">
        <v>2412</v>
      </c>
      <c r="I208" t="s">
        <v>2348</v>
      </c>
      <c r="J208" s="36">
        <v>1</v>
      </c>
      <c r="K208" s="46">
        <v>0.7</v>
      </c>
      <c r="L208" s="46">
        <v>47.6</v>
      </c>
    </row>
    <row r="209" spans="1:12" x14ac:dyDescent="0.25">
      <c r="A209" s="47" t="str">
        <f t="shared" si="17"/>
        <v>VINO11</v>
      </c>
      <c r="B209" s="92" t="s">
        <v>1662</v>
      </c>
      <c r="C209" s="47" t="str">
        <f t="shared" si="15"/>
        <v>JUNHO</v>
      </c>
      <c r="D209" s="47">
        <f t="shared" si="16"/>
        <v>2022</v>
      </c>
      <c r="E209" s="60">
        <f>IFERROR(AVERAGEIFS(K:K,A:A,'TAB DIN PROVENTOS B3'!$L$3),"")</f>
        <v>1.2070588235294117</v>
      </c>
      <c r="F209" t="s">
        <v>2422</v>
      </c>
      <c r="G209" s="45" t="s">
        <v>2497</v>
      </c>
      <c r="H209" t="s">
        <v>2412</v>
      </c>
      <c r="I209" t="s">
        <v>2348</v>
      </c>
      <c r="J209" s="36">
        <v>1</v>
      </c>
      <c r="K209" s="46">
        <v>0.34</v>
      </c>
      <c r="L209" s="46">
        <v>58.48</v>
      </c>
    </row>
    <row r="210" spans="1:12" x14ac:dyDescent="0.25">
      <c r="A210" s="47" t="str">
        <f t="shared" si="17"/>
        <v>XPLG11</v>
      </c>
      <c r="B210" s="92" t="s">
        <v>1662</v>
      </c>
      <c r="C210" s="47" t="str">
        <f t="shared" si="15"/>
        <v>JUNHO</v>
      </c>
      <c r="D210" s="47">
        <f t="shared" si="16"/>
        <v>2022</v>
      </c>
      <c r="E210" s="60">
        <f>IFERROR(AVERAGEIFS(K:K,A:A,'TAB DIN PROVENTOS B3'!$L$3),"")</f>
        <v>1.2070588235294117</v>
      </c>
      <c r="F210" t="s">
        <v>2423</v>
      </c>
      <c r="G210" s="45" t="s">
        <v>2497</v>
      </c>
      <c r="H210" t="s">
        <v>2412</v>
      </c>
      <c r="I210" t="s">
        <v>2348</v>
      </c>
      <c r="J210" s="36">
        <v>1</v>
      </c>
      <c r="K210" s="46">
        <v>0.68</v>
      </c>
      <c r="L210" s="46">
        <v>55.08</v>
      </c>
    </row>
    <row r="211" spans="1:12" x14ac:dyDescent="0.25">
      <c r="A211" s="47" t="str">
        <f t="shared" si="17"/>
        <v>LVBI11</v>
      </c>
      <c r="B211" s="92" t="s">
        <v>1662</v>
      </c>
      <c r="C211" s="47" t="str">
        <f t="shared" si="15"/>
        <v>JUNHO</v>
      </c>
      <c r="D211" s="47">
        <f t="shared" si="16"/>
        <v>2022</v>
      </c>
      <c r="E211" s="60">
        <f>IFERROR(AVERAGEIFS(K:K,A:A,'TAB DIN PROVENTOS B3'!$L$3),"")</f>
        <v>1.2070588235294117</v>
      </c>
      <c r="F211" t="s">
        <v>2424</v>
      </c>
      <c r="G211" s="45" t="s">
        <v>2498</v>
      </c>
      <c r="H211" t="s">
        <v>2412</v>
      </c>
      <c r="I211" t="s">
        <v>2348</v>
      </c>
      <c r="J211" s="36">
        <v>1</v>
      </c>
      <c r="K211" s="46">
        <v>0.74</v>
      </c>
      <c r="L211" s="46">
        <v>57.72</v>
      </c>
    </row>
    <row r="212" spans="1:12" x14ac:dyDescent="0.25">
      <c r="A212" s="47" t="str">
        <f t="shared" si="17"/>
        <v>BBAS3</v>
      </c>
      <c r="B212" s="92" t="s">
        <v>2344</v>
      </c>
      <c r="C212" s="47" t="str">
        <f t="shared" si="15"/>
        <v>MAIO</v>
      </c>
      <c r="D212" s="47">
        <f t="shared" si="16"/>
        <v>2022</v>
      </c>
      <c r="E212" s="60">
        <f>IFERROR(AVERAGEIFS(K:K,A:A,'TAB DIN PROVENTOS B3'!$L$3),"")</f>
        <v>1.2070588235294117</v>
      </c>
      <c r="F212" t="s">
        <v>2425</v>
      </c>
      <c r="G212" s="45" t="s">
        <v>2499</v>
      </c>
      <c r="H212" t="s">
        <v>2350</v>
      </c>
      <c r="I212" t="s">
        <v>2348</v>
      </c>
      <c r="J212" s="36">
        <v>1</v>
      </c>
      <c r="K212" s="46">
        <v>0.16</v>
      </c>
      <c r="L212" s="46">
        <v>46.6</v>
      </c>
    </row>
    <row r="213" spans="1:12" x14ac:dyDescent="0.25">
      <c r="A213" s="47" t="str">
        <f t="shared" si="17"/>
        <v>BBAS3</v>
      </c>
      <c r="B213" s="92" t="s">
        <v>2344</v>
      </c>
      <c r="C213" s="47" t="str">
        <f t="shared" si="15"/>
        <v>MAIO</v>
      </c>
      <c r="D213" s="47">
        <f t="shared" si="16"/>
        <v>2022</v>
      </c>
      <c r="E213" s="60">
        <f>IFERROR(AVERAGEIFS(K:K,A:A,'TAB DIN PROVENTOS B3'!$L$3),"")</f>
        <v>1.2070588235294117</v>
      </c>
      <c r="F213" t="s">
        <v>2425</v>
      </c>
      <c r="G213" s="45" t="s">
        <v>2499</v>
      </c>
      <c r="H213" t="s">
        <v>2349</v>
      </c>
      <c r="I213" t="s">
        <v>2348</v>
      </c>
      <c r="J213" s="36">
        <v>1</v>
      </c>
      <c r="K213" s="46">
        <v>0.52</v>
      </c>
      <c r="L213" s="46">
        <v>132.02000000000001</v>
      </c>
    </row>
    <row r="214" spans="1:12" x14ac:dyDescent="0.25">
      <c r="A214" s="47" t="str">
        <f t="shared" si="17"/>
        <v>TAEE4</v>
      </c>
      <c r="B214" s="92" t="s">
        <v>2344</v>
      </c>
      <c r="C214" s="47" t="str">
        <f t="shared" si="15"/>
        <v>MAIO</v>
      </c>
      <c r="D214" s="47">
        <f t="shared" si="16"/>
        <v>2022</v>
      </c>
      <c r="E214" s="60">
        <f>IFERROR(AVERAGEIFS(K:K,A:A,'TAB DIN PROVENTOS B3'!$L$3),"")</f>
        <v>1.2070588235294117</v>
      </c>
      <c r="F214" t="s">
        <v>2409</v>
      </c>
      <c r="G214" s="45" t="s">
        <v>2499</v>
      </c>
      <c r="H214" t="s">
        <v>2350</v>
      </c>
      <c r="I214" t="s">
        <v>2348</v>
      </c>
      <c r="J214" s="36">
        <v>1</v>
      </c>
      <c r="K214" s="46">
        <v>0.14000000000000001</v>
      </c>
      <c r="L214" s="46">
        <v>99.57</v>
      </c>
    </row>
    <row r="215" spans="1:12" x14ac:dyDescent="0.25">
      <c r="A215" s="47" t="str">
        <f t="shared" si="17"/>
        <v>XPML11</v>
      </c>
      <c r="B215" s="92" t="s">
        <v>1662</v>
      </c>
      <c r="C215" s="47" t="str">
        <f t="shared" si="15"/>
        <v>MAIO</v>
      </c>
      <c r="D215" s="47">
        <f t="shared" si="16"/>
        <v>2022</v>
      </c>
      <c r="E215" s="60">
        <f>IFERROR(AVERAGEIFS(K:K,A:A,'TAB DIN PROVENTOS B3'!$L$3),"")</f>
        <v>1.2070588235294117</v>
      </c>
      <c r="F215" t="s">
        <v>2411</v>
      </c>
      <c r="G215" s="45" t="s">
        <v>2500</v>
      </c>
      <c r="H215" t="s">
        <v>2412</v>
      </c>
      <c r="I215" t="s">
        <v>2348</v>
      </c>
      <c r="J215" s="36">
        <v>1</v>
      </c>
      <c r="K215" s="46">
        <v>0.68</v>
      </c>
      <c r="L215" s="46">
        <v>61.2</v>
      </c>
    </row>
    <row r="216" spans="1:12" x14ac:dyDescent="0.25">
      <c r="A216" s="47" t="str">
        <f t="shared" si="17"/>
        <v>IRDM11</v>
      </c>
      <c r="B216" s="92" t="s">
        <v>1662</v>
      </c>
      <c r="C216" s="47" t="str">
        <f t="shared" si="15"/>
        <v>MAIO</v>
      </c>
      <c r="D216" s="47">
        <f t="shared" si="16"/>
        <v>2022</v>
      </c>
      <c r="E216" s="60">
        <f>IFERROR(AVERAGEIFS(K:K,A:A,'TAB DIN PROVENTOS B3'!$L$3),"")</f>
        <v>1.2070588235294117</v>
      </c>
      <c r="F216" t="s">
        <v>2433</v>
      </c>
      <c r="G216" s="45" t="s">
        <v>2501</v>
      </c>
      <c r="H216" t="s">
        <v>2412</v>
      </c>
      <c r="I216" t="s">
        <v>2348</v>
      </c>
      <c r="J216" s="36">
        <v>1</v>
      </c>
      <c r="K216" s="46">
        <v>1.26</v>
      </c>
      <c r="L216" s="46">
        <v>85.74</v>
      </c>
    </row>
    <row r="217" spans="1:12" x14ac:dyDescent="0.25">
      <c r="A217" s="47" t="str">
        <f t="shared" si="17"/>
        <v>SANB4</v>
      </c>
      <c r="B217" s="92" t="s">
        <v>2344</v>
      </c>
      <c r="C217" s="47" t="str">
        <f t="shared" si="15"/>
        <v>MAIO</v>
      </c>
      <c r="D217" s="47">
        <f t="shared" si="16"/>
        <v>2022</v>
      </c>
      <c r="E217" s="60">
        <f>IFERROR(AVERAGEIFS(K:K,A:A,'TAB DIN PROVENTOS B3'!$L$3),"")</f>
        <v>1.2070588235294117</v>
      </c>
      <c r="F217" t="s">
        <v>2410</v>
      </c>
      <c r="G217" s="45" t="s">
        <v>2502</v>
      </c>
      <c r="H217" t="s">
        <v>2350</v>
      </c>
      <c r="I217" t="s">
        <v>2348</v>
      </c>
      <c r="J217" s="36">
        <v>1</v>
      </c>
      <c r="K217" s="46">
        <v>0.1</v>
      </c>
      <c r="L217" s="46">
        <v>29.51</v>
      </c>
    </row>
    <row r="218" spans="1:12" x14ac:dyDescent="0.25">
      <c r="A218" s="47" t="str">
        <f t="shared" si="17"/>
        <v>SANB4</v>
      </c>
      <c r="B218" s="92" t="s">
        <v>2344</v>
      </c>
      <c r="C218" s="47" t="str">
        <f t="shared" si="15"/>
        <v>MAIO</v>
      </c>
      <c r="D218" s="47">
        <f t="shared" si="16"/>
        <v>2022</v>
      </c>
      <c r="E218" s="60">
        <f>IFERROR(AVERAGEIFS(K:K,A:A,'TAB DIN PROVENTOS B3'!$L$3),"")</f>
        <v>1.2070588235294117</v>
      </c>
      <c r="F218" t="s">
        <v>2410</v>
      </c>
      <c r="G218" s="45" t="s">
        <v>2502</v>
      </c>
      <c r="H218" t="s">
        <v>2349</v>
      </c>
      <c r="I218" t="s">
        <v>2348</v>
      </c>
      <c r="J218" s="36">
        <v>1</v>
      </c>
      <c r="K218" s="46">
        <v>0.14000000000000001</v>
      </c>
      <c r="L218" s="46">
        <v>35.85</v>
      </c>
    </row>
    <row r="219" spans="1:12" x14ac:dyDescent="0.25">
      <c r="A219" s="47" t="str">
        <f t="shared" si="17"/>
        <v>BCFF11</v>
      </c>
      <c r="B219" s="92" t="s">
        <v>1662</v>
      </c>
      <c r="C219" s="47" t="str">
        <f t="shared" si="15"/>
        <v>MAIO</v>
      </c>
      <c r="D219" s="47">
        <f t="shared" si="16"/>
        <v>2022</v>
      </c>
      <c r="E219" s="60">
        <f>IFERROR(AVERAGEIFS(K:K,A:A,'TAB DIN PROVENTOS B3'!$L$3),"")</f>
        <v>1.2070588235294117</v>
      </c>
      <c r="F219" t="s">
        <v>2414</v>
      </c>
      <c r="G219" s="45" t="s">
        <v>2503</v>
      </c>
      <c r="H219" t="s">
        <v>2412</v>
      </c>
      <c r="I219" t="s">
        <v>2348</v>
      </c>
      <c r="J219" s="36">
        <v>1</v>
      </c>
      <c r="K219" s="46">
        <v>0.54</v>
      </c>
      <c r="L219" s="46">
        <v>55.62</v>
      </c>
    </row>
    <row r="220" spans="1:12" x14ac:dyDescent="0.25">
      <c r="A220" s="47" t="str">
        <f t="shared" si="17"/>
        <v>VILG11</v>
      </c>
      <c r="B220" s="92" t="s">
        <v>1662</v>
      </c>
      <c r="C220" s="47" t="str">
        <f t="shared" ref="C220:C239" si="18">UPPER(TEXT(G220,"MMMM"))</f>
        <v>MAIO</v>
      </c>
      <c r="D220" s="47">
        <f t="shared" ref="D220:D239" si="19">YEAR(G220)</f>
        <v>2022</v>
      </c>
      <c r="E220" s="60">
        <f>IFERROR(AVERAGEIFS(K:K,A:A,'TAB DIN PROVENTOS B3'!$L$3),"")</f>
        <v>1.2070588235294117</v>
      </c>
      <c r="F220" t="s">
        <v>2438</v>
      </c>
      <c r="G220" s="45" t="s">
        <v>2503</v>
      </c>
      <c r="H220" t="s">
        <v>2412</v>
      </c>
      <c r="I220" t="s">
        <v>2348</v>
      </c>
      <c r="J220" s="36">
        <v>1</v>
      </c>
      <c r="K220" s="46">
        <v>0.7</v>
      </c>
      <c r="L220" s="46">
        <v>47.6</v>
      </c>
    </row>
    <row r="221" spans="1:12" x14ac:dyDescent="0.25">
      <c r="A221" s="47" t="str">
        <f t="shared" si="17"/>
        <v>XPLG11</v>
      </c>
      <c r="B221" s="92" t="s">
        <v>1662</v>
      </c>
      <c r="C221" s="47" t="str">
        <f t="shared" si="18"/>
        <v>MAIO</v>
      </c>
      <c r="D221" s="47">
        <f t="shared" si="19"/>
        <v>2022</v>
      </c>
      <c r="E221" s="60">
        <f>IFERROR(AVERAGEIFS(K:K,A:A,'TAB DIN PROVENTOS B3'!$L$3),"")</f>
        <v>1.2070588235294117</v>
      </c>
      <c r="F221" t="s">
        <v>2423</v>
      </c>
      <c r="G221" s="45" t="s">
        <v>2503</v>
      </c>
      <c r="H221" t="s">
        <v>2412</v>
      </c>
      <c r="I221" t="s">
        <v>2348</v>
      </c>
      <c r="J221" s="36">
        <v>1</v>
      </c>
      <c r="K221" s="46">
        <v>0.66</v>
      </c>
      <c r="L221" s="46">
        <v>53.46</v>
      </c>
    </row>
    <row r="222" spans="1:12" x14ac:dyDescent="0.25">
      <c r="A222" s="47" t="str">
        <f t="shared" si="17"/>
        <v>XPML11</v>
      </c>
      <c r="B222" s="92" t="s">
        <v>1662</v>
      </c>
      <c r="C222" s="47" t="str">
        <f t="shared" si="18"/>
        <v>ABRIL</v>
      </c>
      <c r="D222" s="47">
        <f t="shared" si="19"/>
        <v>2022</v>
      </c>
      <c r="E222" s="60">
        <f>IFERROR(AVERAGEIFS(K:K,A:A,'TAB DIN PROVENTOS B3'!$L$3),"")</f>
        <v>1.2070588235294117</v>
      </c>
      <c r="F222" t="s">
        <v>2411</v>
      </c>
      <c r="G222" s="45" t="s">
        <v>2504</v>
      </c>
      <c r="H222" t="s">
        <v>2412</v>
      </c>
      <c r="I222" t="s">
        <v>2348</v>
      </c>
      <c r="J222" s="36">
        <v>1</v>
      </c>
      <c r="K222" s="46">
        <v>0.66</v>
      </c>
      <c r="L222" s="46">
        <v>46.2</v>
      </c>
    </row>
    <row r="223" spans="1:12" x14ac:dyDescent="0.25">
      <c r="A223" s="47" t="str">
        <f t="shared" si="17"/>
        <v>IRDM11</v>
      </c>
      <c r="B223" s="92" t="s">
        <v>1662</v>
      </c>
      <c r="C223" s="47" t="str">
        <f t="shared" si="18"/>
        <v>ABRIL</v>
      </c>
      <c r="D223" s="47">
        <f t="shared" si="19"/>
        <v>2022</v>
      </c>
      <c r="E223" s="60">
        <f>IFERROR(AVERAGEIFS(K:K,A:A,'TAB DIN PROVENTOS B3'!$L$3),"")</f>
        <v>1.2070588235294117</v>
      </c>
      <c r="F223" t="s">
        <v>2433</v>
      </c>
      <c r="G223" s="45" t="s">
        <v>2505</v>
      </c>
      <c r="H223" t="s">
        <v>2412</v>
      </c>
      <c r="I223" t="s">
        <v>2348</v>
      </c>
      <c r="J223" s="36">
        <v>1</v>
      </c>
      <c r="K223" s="46">
        <v>1.18</v>
      </c>
      <c r="L223" s="46">
        <v>80.37</v>
      </c>
    </row>
    <row r="224" spans="1:12" x14ac:dyDescent="0.25">
      <c r="A224" s="47" t="str">
        <f t="shared" si="17"/>
        <v>BCFF11</v>
      </c>
      <c r="B224" s="92" t="s">
        <v>1662</v>
      </c>
      <c r="C224" s="47" t="str">
        <f t="shared" si="18"/>
        <v>ABRIL</v>
      </c>
      <c r="D224" s="47">
        <f t="shared" si="19"/>
        <v>2022</v>
      </c>
      <c r="E224" s="60">
        <f>IFERROR(AVERAGEIFS(K:K,A:A,'TAB DIN PROVENTOS B3'!$L$3),"")</f>
        <v>1.2070588235294117</v>
      </c>
      <c r="F224" t="s">
        <v>2414</v>
      </c>
      <c r="G224" s="45" t="s">
        <v>2506</v>
      </c>
      <c r="H224" t="s">
        <v>2412</v>
      </c>
      <c r="I224" t="s">
        <v>2348</v>
      </c>
      <c r="J224" s="36">
        <v>1</v>
      </c>
      <c r="K224" s="46">
        <v>0.54</v>
      </c>
      <c r="L224" s="46">
        <v>39.42</v>
      </c>
    </row>
    <row r="225" spans="1:12" x14ac:dyDescent="0.25">
      <c r="A225" s="47" t="str">
        <f t="shared" ref="A225:A253" si="20">MID(F225,1,SEARCH(" ",F225)-1)</f>
        <v>VILG11</v>
      </c>
      <c r="B225" s="92" t="s">
        <v>1662</v>
      </c>
      <c r="C225" s="47" t="str">
        <f t="shared" si="18"/>
        <v>ABRIL</v>
      </c>
      <c r="D225" s="47">
        <f t="shared" si="19"/>
        <v>2022</v>
      </c>
      <c r="E225" s="60">
        <f>IFERROR(AVERAGEIFS(K:K,A:A,'TAB DIN PROVENTOS B3'!$L$3),"")</f>
        <v>1.2070588235294117</v>
      </c>
      <c r="F225" t="s">
        <v>2438</v>
      </c>
      <c r="G225" s="45" t="s">
        <v>2506</v>
      </c>
      <c r="H225" t="s">
        <v>2412</v>
      </c>
      <c r="I225" t="s">
        <v>2348</v>
      </c>
      <c r="J225" s="36">
        <v>1</v>
      </c>
      <c r="K225" s="46">
        <v>0.7</v>
      </c>
      <c r="L225" s="46">
        <v>40.6</v>
      </c>
    </row>
    <row r="226" spans="1:12" x14ac:dyDescent="0.25">
      <c r="A226" s="47" t="str">
        <f t="shared" si="20"/>
        <v>XPLG11</v>
      </c>
      <c r="B226" s="92" t="s">
        <v>1662</v>
      </c>
      <c r="C226" s="47" t="str">
        <f t="shared" si="18"/>
        <v>ABRIL</v>
      </c>
      <c r="D226" s="47">
        <f t="shared" si="19"/>
        <v>2022</v>
      </c>
      <c r="E226" s="60">
        <f>IFERROR(AVERAGEIFS(K:K,A:A,'TAB DIN PROVENTOS B3'!$L$3),"")</f>
        <v>1.2070588235294117</v>
      </c>
      <c r="F226" t="s">
        <v>2423</v>
      </c>
      <c r="G226" s="45" t="s">
        <v>2506</v>
      </c>
      <c r="H226" t="s">
        <v>2412</v>
      </c>
      <c r="I226" t="s">
        <v>2348</v>
      </c>
      <c r="J226" s="36">
        <v>1</v>
      </c>
      <c r="K226" s="46">
        <v>0.66</v>
      </c>
      <c r="L226" s="46">
        <v>53.46</v>
      </c>
    </row>
    <row r="227" spans="1:12" x14ac:dyDescent="0.25">
      <c r="A227" s="47" t="str">
        <f t="shared" si="20"/>
        <v>B3SA3</v>
      </c>
      <c r="B227" s="92" t="s">
        <v>2344</v>
      </c>
      <c r="C227" s="47" t="str">
        <f t="shared" si="18"/>
        <v>ABRIL</v>
      </c>
      <c r="D227" s="47">
        <f t="shared" si="19"/>
        <v>2022</v>
      </c>
      <c r="E227" s="60">
        <f>IFERROR(AVERAGEIFS(K:K,A:A,'TAB DIN PROVENTOS B3'!$L$3),"")</f>
        <v>1.2070588235294117</v>
      </c>
      <c r="F227" t="s">
        <v>2427</v>
      </c>
      <c r="G227" s="45" t="s">
        <v>2507</v>
      </c>
      <c r="H227" t="s">
        <v>2349</v>
      </c>
      <c r="I227" t="s">
        <v>2348</v>
      </c>
      <c r="J227" s="36">
        <v>1</v>
      </c>
      <c r="K227" s="46">
        <v>0.05</v>
      </c>
      <c r="L227" s="46">
        <v>21.37</v>
      </c>
    </row>
    <row r="228" spans="1:12" x14ac:dyDescent="0.25">
      <c r="A228" s="47" t="str">
        <f t="shared" si="20"/>
        <v>B3SA3</v>
      </c>
      <c r="B228" s="92" t="s">
        <v>2344</v>
      </c>
      <c r="C228" s="47" t="str">
        <f t="shared" si="18"/>
        <v>ABRIL</v>
      </c>
      <c r="D228" s="47">
        <f t="shared" si="19"/>
        <v>2022</v>
      </c>
      <c r="E228" s="60">
        <f>IFERROR(AVERAGEIFS(K:K,A:A,'TAB DIN PROVENTOS B3'!$L$3),"")</f>
        <v>1.2070588235294117</v>
      </c>
      <c r="F228" t="s">
        <v>2427</v>
      </c>
      <c r="G228" s="45" t="s">
        <v>2507</v>
      </c>
      <c r="H228" t="s">
        <v>2350</v>
      </c>
      <c r="I228" t="s">
        <v>2348</v>
      </c>
      <c r="J228" s="36">
        <v>1</v>
      </c>
      <c r="K228" s="46">
        <v>0.13</v>
      </c>
      <c r="L228" s="46">
        <v>65.59</v>
      </c>
    </row>
    <row r="229" spans="1:12" x14ac:dyDescent="0.25">
      <c r="A229" s="47" t="str">
        <f t="shared" si="20"/>
        <v>BBAS3</v>
      </c>
      <c r="B229" s="92" t="s">
        <v>2344</v>
      </c>
      <c r="C229" s="47" t="str">
        <f t="shared" si="18"/>
        <v>MARÇO</v>
      </c>
      <c r="D229" s="47">
        <f t="shared" si="19"/>
        <v>2022</v>
      </c>
      <c r="E229" s="60">
        <f>IFERROR(AVERAGEIFS(K:K,A:A,'TAB DIN PROVENTOS B3'!$L$3),"")</f>
        <v>1.2070588235294117</v>
      </c>
      <c r="F229" t="s">
        <v>2425</v>
      </c>
      <c r="G229" s="45" t="s">
        <v>2508</v>
      </c>
      <c r="H229" t="s">
        <v>2349</v>
      </c>
      <c r="I229" t="s">
        <v>2348</v>
      </c>
      <c r="J229" s="36">
        <v>1</v>
      </c>
      <c r="K229" s="46">
        <v>0.21</v>
      </c>
      <c r="L229" s="46">
        <v>53.71</v>
      </c>
    </row>
    <row r="230" spans="1:12" x14ac:dyDescent="0.25">
      <c r="A230" s="47" t="str">
        <f t="shared" si="20"/>
        <v>XPML11</v>
      </c>
      <c r="B230" s="92" t="s">
        <v>1662</v>
      </c>
      <c r="C230" s="47" t="str">
        <f t="shared" si="18"/>
        <v>MARÇO</v>
      </c>
      <c r="D230" s="47">
        <f t="shared" si="19"/>
        <v>2022</v>
      </c>
      <c r="E230" s="60">
        <f>IFERROR(AVERAGEIFS(K:K,A:A,'TAB DIN PROVENTOS B3'!$L$3),"")</f>
        <v>1.2070588235294117</v>
      </c>
      <c r="F230" t="s">
        <v>2411</v>
      </c>
      <c r="G230" s="45" t="s">
        <v>2509</v>
      </c>
      <c r="H230" t="s">
        <v>2412</v>
      </c>
      <c r="I230" t="s">
        <v>2348</v>
      </c>
      <c r="J230" s="36">
        <v>1</v>
      </c>
      <c r="K230" s="46">
        <v>0.64</v>
      </c>
      <c r="L230" s="46">
        <v>32</v>
      </c>
    </row>
    <row r="231" spans="1:12" x14ac:dyDescent="0.25">
      <c r="A231" s="47" t="str">
        <f t="shared" si="20"/>
        <v>IRDM11</v>
      </c>
      <c r="B231" s="92" t="s">
        <v>1662</v>
      </c>
      <c r="C231" s="47" t="str">
        <f t="shared" si="18"/>
        <v>MARÇO</v>
      </c>
      <c r="D231" s="47">
        <f t="shared" si="19"/>
        <v>2022</v>
      </c>
      <c r="E231" s="60">
        <f>IFERROR(AVERAGEIFS(K:K,A:A,'TAB DIN PROVENTOS B3'!$L$3),"")</f>
        <v>1.2070588235294117</v>
      </c>
      <c r="F231" t="s">
        <v>2433</v>
      </c>
      <c r="G231" s="45" t="s">
        <v>2510</v>
      </c>
      <c r="H231" t="s">
        <v>2412</v>
      </c>
      <c r="I231" t="s">
        <v>2348</v>
      </c>
      <c r="J231" s="36">
        <v>1</v>
      </c>
      <c r="K231" s="46">
        <v>1.22</v>
      </c>
      <c r="L231" s="46">
        <v>59.78</v>
      </c>
    </row>
    <row r="232" spans="1:12" x14ac:dyDescent="0.25">
      <c r="A232" s="47" t="str">
        <f t="shared" si="20"/>
        <v>BCFF11</v>
      </c>
      <c r="B232" s="92" t="s">
        <v>1662</v>
      </c>
      <c r="C232" s="47" t="str">
        <f t="shared" si="18"/>
        <v>MARÇO</v>
      </c>
      <c r="D232" s="47">
        <f t="shared" si="19"/>
        <v>2022</v>
      </c>
      <c r="E232" s="60">
        <f>IFERROR(AVERAGEIFS(K:K,A:A,'TAB DIN PROVENTOS B3'!$L$3),"")</f>
        <v>1.2070588235294117</v>
      </c>
      <c r="F232" t="s">
        <v>2414</v>
      </c>
      <c r="G232" s="45" t="s">
        <v>2511</v>
      </c>
      <c r="H232" t="s">
        <v>2412</v>
      </c>
      <c r="I232" t="s">
        <v>2348</v>
      </c>
      <c r="J232" s="36">
        <v>1</v>
      </c>
      <c r="K232" s="46">
        <v>0.54</v>
      </c>
      <c r="L232" s="46">
        <v>31.32</v>
      </c>
    </row>
    <row r="233" spans="1:12" x14ac:dyDescent="0.25">
      <c r="A233" s="47" t="str">
        <f t="shared" si="20"/>
        <v>SANB4</v>
      </c>
      <c r="B233" s="92" t="s">
        <v>2344</v>
      </c>
      <c r="C233" s="47" t="str">
        <f t="shared" si="18"/>
        <v>MARÇO</v>
      </c>
      <c r="D233" s="47">
        <f t="shared" si="19"/>
        <v>2022</v>
      </c>
      <c r="E233" s="60">
        <f>IFERROR(AVERAGEIFS(K:K,A:A,'TAB DIN PROVENTOS B3'!$L$3),"")</f>
        <v>1.2070588235294117</v>
      </c>
      <c r="F233" t="s">
        <v>2410</v>
      </c>
      <c r="G233" s="45" t="s">
        <v>2512</v>
      </c>
      <c r="H233" t="s">
        <v>2350</v>
      </c>
      <c r="I233" t="s">
        <v>2348</v>
      </c>
      <c r="J233" s="36">
        <v>1</v>
      </c>
      <c r="K233" s="46">
        <v>0.18</v>
      </c>
      <c r="L233" s="46">
        <v>38.51</v>
      </c>
    </row>
    <row r="234" spans="1:12" x14ac:dyDescent="0.25">
      <c r="A234" s="47" t="str">
        <f t="shared" si="20"/>
        <v>ALZR11</v>
      </c>
      <c r="B234" s="92" t="s">
        <v>1662</v>
      </c>
      <c r="C234" s="47" t="str">
        <f t="shared" si="18"/>
        <v>FEVEREIRO</v>
      </c>
      <c r="D234" s="47">
        <f t="shared" si="19"/>
        <v>2022</v>
      </c>
      <c r="E234" s="60">
        <f>IFERROR(AVERAGEIFS(K:K,A:A,'TAB DIN PROVENTOS B3'!$L$3),"")</f>
        <v>1.2070588235294117</v>
      </c>
      <c r="F234" t="s">
        <v>2430</v>
      </c>
      <c r="G234" s="45" t="s">
        <v>2513</v>
      </c>
      <c r="H234" t="s">
        <v>2412</v>
      </c>
      <c r="I234" t="s">
        <v>2348</v>
      </c>
      <c r="J234" s="36">
        <v>1</v>
      </c>
      <c r="K234" s="46">
        <v>0.73</v>
      </c>
      <c r="L234" s="46">
        <v>36.99</v>
      </c>
    </row>
    <row r="235" spans="1:12" x14ac:dyDescent="0.25">
      <c r="A235" s="47" t="str">
        <f t="shared" si="20"/>
        <v>XPML11</v>
      </c>
      <c r="B235" s="92" t="s">
        <v>1662</v>
      </c>
      <c r="C235" s="47" t="str">
        <f t="shared" si="18"/>
        <v>FEVEREIRO</v>
      </c>
      <c r="D235" s="47">
        <f t="shared" si="19"/>
        <v>2022</v>
      </c>
      <c r="E235" s="60">
        <f>IFERROR(AVERAGEIFS(K:K,A:A,'TAB DIN PROVENTOS B3'!$L$3),"")</f>
        <v>1.2070588235294117</v>
      </c>
      <c r="F235" t="s">
        <v>2411</v>
      </c>
      <c r="G235" s="45" t="s">
        <v>2513</v>
      </c>
      <c r="H235" t="s">
        <v>2412</v>
      </c>
      <c r="I235" t="s">
        <v>2348</v>
      </c>
      <c r="J235" s="36">
        <v>1</v>
      </c>
      <c r="K235" s="46">
        <v>0.6</v>
      </c>
      <c r="L235" s="46">
        <v>30</v>
      </c>
    </row>
    <row r="236" spans="1:12" x14ac:dyDescent="0.25">
      <c r="A236" s="47" t="str">
        <f t="shared" si="20"/>
        <v>IRDM11</v>
      </c>
      <c r="B236" s="92" t="s">
        <v>1662</v>
      </c>
      <c r="C236" s="47" t="str">
        <f t="shared" si="18"/>
        <v>FEVEREIRO</v>
      </c>
      <c r="D236" s="47">
        <f t="shared" si="19"/>
        <v>2022</v>
      </c>
      <c r="E236" s="60">
        <f>IFERROR(AVERAGEIFS(K:K,A:A,'TAB DIN PROVENTOS B3'!$L$3),"")</f>
        <v>1.2070588235294117</v>
      </c>
      <c r="F236" t="s">
        <v>2433</v>
      </c>
      <c r="G236" s="45" t="s">
        <v>2514</v>
      </c>
      <c r="H236" t="s">
        <v>2412</v>
      </c>
      <c r="I236" t="s">
        <v>2348</v>
      </c>
      <c r="J236" s="36">
        <v>1</v>
      </c>
      <c r="K236" s="46">
        <v>1.08</v>
      </c>
      <c r="L236" s="46">
        <v>53.15</v>
      </c>
    </row>
    <row r="237" spans="1:12" x14ac:dyDescent="0.25">
      <c r="A237" s="47" t="str">
        <f t="shared" si="20"/>
        <v>RBVA11</v>
      </c>
      <c r="B237" s="92" t="s">
        <v>1662</v>
      </c>
      <c r="C237" s="47" t="str">
        <f t="shared" si="18"/>
        <v>FEVEREIRO</v>
      </c>
      <c r="D237" s="47">
        <f t="shared" si="19"/>
        <v>2022</v>
      </c>
      <c r="E237" s="60">
        <f>IFERROR(AVERAGEIFS(K:K,A:A,'TAB DIN PROVENTOS B3'!$L$3),"")</f>
        <v>1.2070588235294117</v>
      </c>
      <c r="F237" t="s">
        <v>2413</v>
      </c>
      <c r="G237" s="45" t="s">
        <v>2515</v>
      </c>
      <c r="H237" t="s">
        <v>2412</v>
      </c>
      <c r="I237" t="s">
        <v>2348</v>
      </c>
      <c r="J237" s="36">
        <v>1</v>
      </c>
      <c r="K237" s="46">
        <v>0.92</v>
      </c>
      <c r="L237" s="46">
        <v>40.479999999999997</v>
      </c>
    </row>
    <row r="238" spans="1:12" x14ac:dyDescent="0.25">
      <c r="A238" s="47" t="str">
        <f t="shared" si="20"/>
        <v>BCFF11</v>
      </c>
      <c r="B238" s="92" t="s">
        <v>1662</v>
      </c>
      <c r="C238" s="47" t="str">
        <f t="shared" si="18"/>
        <v>FEVEREIRO</v>
      </c>
      <c r="D238" s="47">
        <f t="shared" si="19"/>
        <v>2022</v>
      </c>
      <c r="E238" s="60">
        <f>IFERROR(AVERAGEIFS(K:K,A:A,'TAB DIN PROVENTOS B3'!$L$3),"")</f>
        <v>1.2070588235294117</v>
      </c>
      <c r="F238" t="s">
        <v>2414</v>
      </c>
      <c r="G238" s="45" t="s">
        <v>2516</v>
      </c>
      <c r="H238" t="s">
        <v>2412</v>
      </c>
      <c r="I238" t="s">
        <v>2348</v>
      </c>
      <c r="J238" s="36">
        <v>1</v>
      </c>
      <c r="K238" s="46">
        <v>0.54</v>
      </c>
      <c r="L238" s="46">
        <v>31.32</v>
      </c>
    </row>
    <row r="239" spans="1:12" x14ac:dyDescent="0.25">
      <c r="A239" s="47" t="str">
        <f t="shared" si="20"/>
        <v>BRCR11</v>
      </c>
      <c r="B239" s="92" t="s">
        <v>1662</v>
      </c>
      <c r="C239" s="47" t="str">
        <f t="shared" si="18"/>
        <v>FEVEREIRO</v>
      </c>
      <c r="D239" s="47">
        <f t="shared" si="19"/>
        <v>2022</v>
      </c>
      <c r="E239" s="60">
        <f>IFERROR(AVERAGEIFS(K:K,A:A,'TAB DIN PROVENTOS B3'!$L$3),"")</f>
        <v>1.2070588235294117</v>
      </c>
      <c r="F239" t="s">
        <v>2415</v>
      </c>
      <c r="G239" s="45" t="s">
        <v>2516</v>
      </c>
      <c r="H239" t="s">
        <v>2412</v>
      </c>
      <c r="I239" t="s">
        <v>2348</v>
      </c>
      <c r="J239" s="36">
        <v>1</v>
      </c>
      <c r="K239" s="46">
        <v>0.5</v>
      </c>
      <c r="L239" s="46">
        <v>32</v>
      </c>
    </row>
    <row r="240" spans="1:12" x14ac:dyDescent="0.25">
      <c r="A240" s="47" t="str">
        <f t="shared" si="20"/>
        <v>VINO11</v>
      </c>
      <c r="B240" s="92" t="s">
        <v>1662</v>
      </c>
      <c r="C240" s="47" t="str">
        <f t="shared" ref="C240:C258" si="21">UPPER(TEXT(G240,"MMMM"))</f>
        <v>FEVEREIRO</v>
      </c>
      <c r="D240" s="47">
        <f t="shared" ref="D240:D258" si="22">YEAR(G240)</f>
        <v>2022</v>
      </c>
      <c r="E240" s="60">
        <f>IFERROR(AVERAGEIFS(K:K,A:A,'TAB DIN PROVENTOS B3'!$L$3),"")</f>
        <v>1.2070588235294117</v>
      </c>
      <c r="F240" t="s">
        <v>2422</v>
      </c>
      <c r="G240" s="45" t="s">
        <v>2516</v>
      </c>
      <c r="H240" t="s">
        <v>2412</v>
      </c>
      <c r="I240" t="s">
        <v>2348</v>
      </c>
      <c r="J240" s="36">
        <v>1</v>
      </c>
      <c r="K240" s="46">
        <v>0.34</v>
      </c>
      <c r="L240" s="46">
        <v>25.16</v>
      </c>
    </row>
    <row r="241" spans="1:12" x14ac:dyDescent="0.25">
      <c r="A241" s="47" t="str">
        <f t="shared" si="20"/>
        <v>SANB4</v>
      </c>
      <c r="B241" s="92" t="s">
        <v>2344</v>
      </c>
      <c r="C241" s="47" t="str">
        <f t="shared" si="21"/>
        <v>FEVEREIRO</v>
      </c>
      <c r="D241" s="47">
        <f t="shared" si="22"/>
        <v>2022</v>
      </c>
      <c r="E241" s="60">
        <f>IFERROR(AVERAGEIFS(K:K,A:A,'TAB DIN PROVENTOS B3'!$L$3),"")</f>
        <v>1.2070588235294117</v>
      </c>
      <c r="F241" t="s">
        <v>2410</v>
      </c>
      <c r="G241" s="45" t="s">
        <v>2517</v>
      </c>
      <c r="H241" t="s">
        <v>2349</v>
      </c>
      <c r="I241" t="s">
        <v>2348</v>
      </c>
      <c r="J241" s="36">
        <v>1</v>
      </c>
      <c r="K241" s="46">
        <v>0.03</v>
      </c>
      <c r="L241" s="46">
        <v>6.27</v>
      </c>
    </row>
    <row r="242" spans="1:12" x14ac:dyDescent="0.25">
      <c r="A242" s="47" t="str">
        <f t="shared" si="20"/>
        <v>ALZR11</v>
      </c>
      <c r="B242" s="92" t="s">
        <v>1662</v>
      </c>
      <c r="C242" s="47" t="str">
        <f t="shared" si="21"/>
        <v>JANEIRO</v>
      </c>
      <c r="D242" s="47">
        <f t="shared" si="22"/>
        <v>2022</v>
      </c>
      <c r="E242" s="60">
        <f>IFERROR(AVERAGEIFS(K:K,A:A,'TAB DIN PROVENTOS B3'!$L$3),"")</f>
        <v>1.2070588235294117</v>
      </c>
      <c r="F242" t="s">
        <v>2430</v>
      </c>
      <c r="G242" s="45" t="s">
        <v>2518</v>
      </c>
      <c r="H242" t="s">
        <v>2412</v>
      </c>
      <c r="I242" t="s">
        <v>2348</v>
      </c>
      <c r="J242" s="36">
        <v>1</v>
      </c>
      <c r="K242" s="46">
        <v>0.75</v>
      </c>
      <c r="L242" s="46">
        <v>38.17</v>
      </c>
    </row>
    <row r="243" spans="1:12" x14ac:dyDescent="0.25">
      <c r="A243" s="47" t="str">
        <f t="shared" si="20"/>
        <v>BTLG11</v>
      </c>
      <c r="B243" s="92" t="s">
        <v>1662</v>
      </c>
      <c r="C243" s="47" t="str">
        <f t="shared" si="21"/>
        <v>JANEIRO</v>
      </c>
      <c r="D243" s="47">
        <f t="shared" si="22"/>
        <v>2022</v>
      </c>
      <c r="E243" s="60">
        <f>IFERROR(AVERAGEIFS(K:K,A:A,'TAB DIN PROVENTOS B3'!$L$3),"")</f>
        <v>1.2070588235294117</v>
      </c>
      <c r="F243" t="s">
        <v>2432</v>
      </c>
      <c r="G243" s="45" t="s">
        <v>2518</v>
      </c>
      <c r="H243" t="s">
        <v>2412</v>
      </c>
      <c r="I243" t="s">
        <v>2348</v>
      </c>
      <c r="J243" s="36">
        <v>1</v>
      </c>
      <c r="K243" s="46">
        <v>0.72</v>
      </c>
      <c r="L243" s="46">
        <v>46.08</v>
      </c>
    </row>
    <row r="244" spans="1:12" x14ac:dyDescent="0.25">
      <c r="A244" s="47" t="str">
        <f t="shared" si="20"/>
        <v>XPML11</v>
      </c>
      <c r="B244" s="92" t="s">
        <v>1662</v>
      </c>
      <c r="C244" s="47" t="str">
        <f t="shared" si="21"/>
        <v>JANEIRO</v>
      </c>
      <c r="D244" s="47">
        <f t="shared" si="22"/>
        <v>2022</v>
      </c>
      <c r="E244" s="60">
        <f>IFERROR(AVERAGEIFS(K:K,A:A,'TAB DIN PROVENTOS B3'!$L$3),"")</f>
        <v>1.2070588235294117</v>
      </c>
      <c r="F244" t="s">
        <v>2411</v>
      </c>
      <c r="G244" s="45" t="s">
        <v>2518</v>
      </c>
      <c r="H244" t="s">
        <v>2412</v>
      </c>
      <c r="I244" t="s">
        <v>2348</v>
      </c>
      <c r="J244" s="36">
        <v>1</v>
      </c>
      <c r="K244" s="46">
        <v>0.85</v>
      </c>
      <c r="L244" s="46">
        <v>28.9</v>
      </c>
    </row>
    <row r="245" spans="1:12" x14ac:dyDescent="0.25">
      <c r="A245" s="47" t="str">
        <f t="shared" si="20"/>
        <v>IRDM11</v>
      </c>
      <c r="B245" s="92" t="s">
        <v>1662</v>
      </c>
      <c r="C245" s="47" t="str">
        <f t="shared" si="21"/>
        <v>JANEIRO</v>
      </c>
      <c r="D245" s="47">
        <f t="shared" si="22"/>
        <v>2022</v>
      </c>
      <c r="E245" s="60">
        <f>IFERROR(AVERAGEIFS(K:K,A:A,'TAB DIN PROVENTOS B3'!$L$3),"")</f>
        <v>1.2070588235294117</v>
      </c>
      <c r="F245" t="s">
        <v>2433</v>
      </c>
      <c r="G245" s="45" t="s">
        <v>2519</v>
      </c>
      <c r="H245" t="s">
        <v>2412</v>
      </c>
      <c r="I245" t="s">
        <v>2348</v>
      </c>
      <c r="J245" s="36">
        <v>1</v>
      </c>
      <c r="K245" s="46">
        <v>1.43</v>
      </c>
      <c r="L245" s="46">
        <v>69.819999999999993</v>
      </c>
    </row>
    <row r="246" spans="1:12" x14ac:dyDescent="0.25">
      <c r="A246" s="47" t="str">
        <f t="shared" si="20"/>
        <v>TRPL4</v>
      </c>
      <c r="B246" s="92" t="s">
        <v>2344</v>
      </c>
      <c r="C246" s="47" t="str">
        <f t="shared" si="21"/>
        <v>JANEIRO</v>
      </c>
      <c r="D246" s="47">
        <f t="shared" si="22"/>
        <v>2022</v>
      </c>
      <c r="E246" s="60">
        <f>IFERROR(AVERAGEIFS(K:K,A:A,'TAB DIN PROVENTOS B3'!$L$3),"")</f>
        <v>1.2070588235294117</v>
      </c>
      <c r="F246" t="s">
        <v>2426</v>
      </c>
      <c r="G246" s="45" t="s">
        <v>2519</v>
      </c>
      <c r="H246" t="s">
        <v>2349</v>
      </c>
      <c r="I246" t="s">
        <v>2348</v>
      </c>
      <c r="J246" s="36">
        <v>1</v>
      </c>
      <c r="K246" s="46">
        <v>0.17</v>
      </c>
      <c r="L246" s="46">
        <v>29.56</v>
      </c>
    </row>
    <row r="247" spans="1:12" x14ac:dyDescent="0.25">
      <c r="A247" s="47" t="str">
        <f t="shared" si="20"/>
        <v>BCFF11</v>
      </c>
      <c r="B247" s="92" t="s">
        <v>1662</v>
      </c>
      <c r="C247" s="47" t="str">
        <f t="shared" si="21"/>
        <v>JANEIRO</v>
      </c>
      <c r="D247" s="47">
        <f t="shared" si="22"/>
        <v>2022</v>
      </c>
      <c r="E247" s="60">
        <f>IFERROR(AVERAGEIFS(K:K,A:A,'TAB DIN PROVENTOS B3'!$L$3),"")</f>
        <v>1.2070588235294117</v>
      </c>
      <c r="F247" t="s">
        <v>2414</v>
      </c>
      <c r="G247" s="45" t="s">
        <v>2520</v>
      </c>
      <c r="H247" t="s">
        <v>2412</v>
      </c>
      <c r="I247" t="s">
        <v>2348</v>
      </c>
      <c r="J247" s="36">
        <v>1</v>
      </c>
      <c r="K247" s="46">
        <v>0.54</v>
      </c>
      <c r="L247" s="46">
        <v>31.48</v>
      </c>
    </row>
    <row r="248" spans="1:12" x14ac:dyDescent="0.25">
      <c r="A248" s="47" t="str">
        <f t="shared" si="20"/>
        <v>BRCR11</v>
      </c>
      <c r="B248" s="92" t="s">
        <v>1662</v>
      </c>
      <c r="C248" s="47" t="str">
        <f t="shared" si="21"/>
        <v>JANEIRO</v>
      </c>
      <c r="D248" s="47">
        <f t="shared" si="22"/>
        <v>2022</v>
      </c>
      <c r="E248" s="60">
        <f>IFERROR(AVERAGEIFS(K:K,A:A,'TAB DIN PROVENTOS B3'!$L$3),"")</f>
        <v>1.2070588235294117</v>
      </c>
      <c r="F248" t="s">
        <v>2415</v>
      </c>
      <c r="G248" s="45" t="s">
        <v>2520</v>
      </c>
      <c r="H248" t="s">
        <v>2412</v>
      </c>
      <c r="I248" t="s">
        <v>2348</v>
      </c>
      <c r="J248" s="36">
        <v>1</v>
      </c>
      <c r="K248" s="46">
        <v>0.5</v>
      </c>
      <c r="L248" s="46">
        <v>29.5</v>
      </c>
    </row>
    <row r="249" spans="1:12" x14ac:dyDescent="0.25">
      <c r="A249" s="47" t="str">
        <f t="shared" si="20"/>
        <v>HCTR11</v>
      </c>
      <c r="B249" s="92" t="s">
        <v>1662</v>
      </c>
      <c r="C249" s="47" t="str">
        <f t="shared" si="21"/>
        <v>JANEIRO</v>
      </c>
      <c r="D249" s="47">
        <f t="shared" si="22"/>
        <v>2022</v>
      </c>
      <c r="E249" s="60">
        <f>IFERROR(AVERAGEIFS(K:K,A:A,'TAB DIN PROVENTOS B3'!$L$3),"")</f>
        <v>1.2070588235294117</v>
      </c>
      <c r="F249" t="s">
        <v>2437</v>
      </c>
      <c r="G249" s="45" t="s">
        <v>2520</v>
      </c>
      <c r="H249" t="s">
        <v>2412</v>
      </c>
      <c r="I249" t="s">
        <v>2348</v>
      </c>
      <c r="J249" s="36">
        <v>1</v>
      </c>
      <c r="K249" s="46">
        <v>1.6</v>
      </c>
      <c r="L249" s="46">
        <v>75.2</v>
      </c>
    </row>
    <row r="250" spans="1:12" x14ac:dyDescent="0.25">
      <c r="A250" s="47" t="str">
        <f t="shared" si="20"/>
        <v>HGLG11</v>
      </c>
      <c r="B250" s="92" t="s">
        <v>1662</v>
      </c>
      <c r="C250" s="47" t="str">
        <f t="shared" si="21"/>
        <v>JANEIRO</v>
      </c>
      <c r="D250" s="47">
        <f t="shared" si="22"/>
        <v>2022</v>
      </c>
      <c r="E250" s="60">
        <f>IFERROR(AVERAGEIFS(K:K,A:A,'TAB DIN PROVENTOS B3'!$L$3),"")</f>
        <v>1.2070588235294117</v>
      </c>
      <c r="F250" t="s">
        <v>2416</v>
      </c>
      <c r="G250" s="45" t="s">
        <v>2520</v>
      </c>
      <c r="H250" t="s">
        <v>2412</v>
      </c>
      <c r="I250" t="s">
        <v>2348</v>
      </c>
      <c r="J250" s="36">
        <v>1</v>
      </c>
      <c r="K250" s="46">
        <v>1.75</v>
      </c>
      <c r="L250" s="46">
        <v>36.75</v>
      </c>
    </row>
    <row r="251" spans="1:12" x14ac:dyDescent="0.25">
      <c r="A251" s="47" t="str">
        <f t="shared" si="20"/>
        <v>HGRE11</v>
      </c>
      <c r="B251" s="92" t="s">
        <v>1662</v>
      </c>
      <c r="C251" s="47" t="str">
        <f t="shared" si="21"/>
        <v>JANEIRO</v>
      </c>
      <c r="D251" s="47">
        <f t="shared" si="22"/>
        <v>2022</v>
      </c>
      <c r="E251" s="60">
        <f>IFERROR(AVERAGEIFS(K:K,A:A,'TAB DIN PROVENTOS B3'!$L$3),"")</f>
        <v>1.2070588235294117</v>
      </c>
      <c r="F251" t="s">
        <v>2417</v>
      </c>
      <c r="G251" s="45" t="s">
        <v>2520</v>
      </c>
      <c r="H251" t="s">
        <v>2412</v>
      </c>
      <c r="I251" t="s">
        <v>2348</v>
      </c>
      <c r="J251" s="36">
        <v>1</v>
      </c>
      <c r="K251" s="46">
        <v>2.75</v>
      </c>
      <c r="L251" s="46">
        <v>90.75</v>
      </c>
    </row>
    <row r="252" spans="1:12" x14ac:dyDescent="0.25">
      <c r="A252" s="47" t="str">
        <f t="shared" si="20"/>
        <v>HGRU11</v>
      </c>
      <c r="B252" s="92" t="s">
        <v>1662</v>
      </c>
      <c r="C252" s="47" t="str">
        <f t="shared" si="21"/>
        <v>JANEIRO</v>
      </c>
      <c r="D252" s="47">
        <f t="shared" si="22"/>
        <v>2022</v>
      </c>
      <c r="E252" s="60">
        <f>IFERROR(AVERAGEIFS(K:K,A:A,'TAB DIN PROVENTOS B3'!$L$3),"")</f>
        <v>1.2070588235294117</v>
      </c>
      <c r="F252" t="s">
        <v>2418</v>
      </c>
      <c r="G252" s="45" t="s">
        <v>2520</v>
      </c>
      <c r="H252" t="s">
        <v>2412</v>
      </c>
      <c r="I252" t="s">
        <v>2348</v>
      </c>
      <c r="J252" s="36">
        <v>1</v>
      </c>
      <c r="K252" s="46">
        <v>0.76</v>
      </c>
      <c r="L252" s="46">
        <v>25.08</v>
      </c>
    </row>
    <row r="253" spans="1:12" x14ac:dyDescent="0.25">
      <c r="A253" s="47" t="str">
        <f t="shared" si="20"/>
        <v>KNRI11</v>
      </c>
      <c r="B253" s="92" t="s">
        <v>1662</v>
      </c>
      <c r="C253" s="47" t="str">
        <f t="shared" si="21"/>
        <v>JANEIRO</v>
      </c>
      <c r="D253" s="47">
        <f t="shared" si="22"/>
        <v>2022</v>
      </c>
      <c r="E253" s="60">
        <f>IFERROR(AVERAGEIFS(K:K,A:A,'TAB DIN PROVENTOS B3'!$L$3),"")</f>
        <v>1.2070588235294117</v>
      </c>
      <c r="F253" t="s">
        <v>2419</v>
      </c>
      <c r="G253" s="45" t="s">
        <v>2520</v>
      </c>
      <c r="H253" t="s">
        <v>2412</v>
      </c>
      <c r="I253" t="s">
        <v>2348</v>
      </c>
      <c r="J253" s="36">
        <v>1</v>
      </c>
      <c r="K253" s="46">
        <v>0.88</v>
      </c>
      <c r="L253" s="46">
        <v>28.16</v>
      </c>
    </row>
    <row r="254" spans="1:12" x14ac:dyDescent="0.25">
      <c r="A254" s="47" t="str">
        <f t="shared" ref="A254:A275" si="23">MID(F254,1,SEARCH(" ",F254)-1)</f>
        <v>MXRF11</v>
      </c>
      <c r="B254" s="92" t="s">
        <v>1662</v>
      </c>
      <c r="C254" s="47" t="str">
        <f t="shared" si="21"/>
        <v>JANEIRO</v>
      </c>
      <c r="D254" s="47">
        <f t="shared" si="22"/>
        <v>2022</v>
      </c>
      <c r="E254" s="60">
        <f>IFERROR(AVERAGEIFS(K:K,A:A,'TAB DIN PROVENTOS B3'!$L$3),"")</f>
        <v>1.2070588235294117</v>
      </c>
      <c r="F254" t="s">
        <v>2420</v>
      </c>
      <c r="G254" s="45" t="s">
        <v>2520</v>
      </c>
      <c r="H254" t="s">
        <v>2412</v>
      </c>
      <c r="I254" t="s">
        <v>2348</v>
      </c>
      <c r="J254" s="36">
        <v>1</v>
      </c>
      <c r="K254" s="46">
        <v>0.09</v>
      </c>
      <c r="L254" s="46">
        <v>59.49</v>
      </c>
    </row>
    <row r="255" spans="1:12" x14ac:dyDescent="0.25">
      <c r="A255" s="47" t="str">
        <f t="shared" si="23"/>
        <v>RBVA11</v>
      </c>
      <c r="B255" s="92" t="s">
        <v>1662</v>
      </c>
      <c r="C255" s="47" t="str">
        <f t="shared" si="21"/>
        <v>JANEIRO</v>
      </c>
      <c r="D255" s="47">
        <f t="shared" si="22"/>
        <v>2022</v>
      </c>
      <c r="E255" s="60">
        <f>IFERROR(AVERAGEIFS(K:K,A:A,'TAB DIN PROVENTOS B3'!$L$3),"")</f>
        <v>1.2070588235294117</v>
      </c>
      <c r="F255" t="s">
        <v>2413</v>
      </c>
      <c r="G255" s="45" t="s">
        <v>2520</v>
      </c>
      <c r="H255" t="s">
        <v>2412</v>
      </c>
      <c r="I255" t="s">
        <v>2348</v>
      </c>
      <c r="J255" s="36">
        <v>1</v>
      </c>
      <c r="K255" s="46">
        <v>0.91</v>
      </c>
      <c r="L255" s="46">
        <v>40.04</v>
      </c>
    </row>
    <row r="256" spans="1:12" x14ac:dyDescent="0.25">
      <c r="A256" s="47" t="str">
        <f t="shared" si="23"/>
        <v>VINO11</v>
      </c>
      <c r="B256" s="92" t="s">
        <v>1662</v>
      </c>
      <c r="C256" s="47" t="str">
        <f t="shared" si="21"/>
        <v>JANEIRO</v>
      </c>
      <c r="D256" s="47">
        <f t="shared" si="22"/>
        <v>2022</v>
      </c>
      <c r="E256" s="60">
        <f>IFERROR(AVERAGEIFS(K:K,A:A,'TAB DIN PROVENTOS B3'!$L$3),"")</f>
        <v>1.2070588235294117</v>
      </c>
      <c r="F256" t="s">
        <v>2422</v>
      </c>
      <c r="G256" s="45" t="s">
        <v>2520</v>
      </c>
      <c r="H256" t="s">
        <v>2412</v>
      </c>
      <c r="I256" t="s">
        <v>2348</v>
      </c>
      <c r="J256" s="36">
        <v>1</v>
      </c>
      <c r="K256" s="46">
        <v>0.5</v>
      </c>
      <c r="L256" s="46">
        <v>37</v>
      </c>
    </row>
    <row r="257" spans="1:12" x14ac:dyDescent="0.25">
      <c r="A257" s="47" t="str">
        <f t="shared" si="23"/>
        <v>B3SA3</v>
      </c>
      <c r="B257" s="92" t="s">
        <v>2344</v>
      </c>
      <c r="C257" s="47" t="str">
        <f t="shared" si="21"/>
        <v>JANEIRO</v>
      </c>
      <c r="D257" s="47">
        <f t="shared" si="22"/>
        <v>2022</v>
      </c>
      <c r="E257" s="60">
        <f>IFERROR(AVERAGEIFS(K:K,A:A,'TAB DIN PROVENTOS B3'!$L$3),"")</f>
        <v>1.2070588235294117</v>
      </c>
      <c r="F257" t="s">
        <v>2427</v>
      </c>
      <c r="G257" s="45" t="s">
        <v>2521</v>
      </c>
      <c r="H257" t="s">
        <v>2349</v>
      </c>
      <c r="I257" t="s">
        <v>2348</v>
      </c>
      <c r="J257" s="36">
        <v>1</v>
      </c>
      <c r="K257" s="46">
        <v>0.05</v>
      </c>
      <c r="L257" s="46">
        <v>15.65</v>
      </c>
    </row>
    <row r="258" spans="1:12" x14ac:dyDescent="0.25">
      <c r="A258" s="47" t="str">
        <f t="shared" si="23"/>
        <v>LVBI11</v>
      </c>
      <c r="B258" s="92" t="s">
        <v>1662</v>
      </c>
      <c r="C258" s="47" t="str">
        <f t="shared" si="21"/>
        <v>JANEIRO</v>
      </c>
      <c r="D258" s="47">
        <f t="shared" si="22"/>
        <v>2022</v>
      </c>
      <c r="E258" s="60">
        <f>IFERROR(AVERAGEIFS(K:K,A:A,'TAB DIN PROVENTOS B3'!$L$3),"")</f>
        <v>1.2070588235294117</v>
      </c>
      <c r="F258" t="s">
        <v>2424</v>
      </c>
      <c r="G258" s="45" t="s">
        <v>2521</v>
      </c>
      <c r="H258" t="s">
        <v>2412</v>
      </c>
      <c r="I258" t="s">
        <v>2348</v>
      </c>
      <c r="J258" s="36">
        <v>1</v>
      </c>
      <c r="K258" s="46">
        <v>0.71</v>
      </c>
      <c r="L258" s="46">
        <v>24.85</v>
      </c>
    </row>
    <row r="259" spans="1:12" x14ac:dyDescent="0.25">
      <c r="A259" s="47" t="str">
        <f t="shared" si="23"/>
        <v>BBAS3</v>
      </c>
      <c r="B259" s="92" t="s">
        <v>2344</v>
      </c>
      <c r="C259" s="47" t="str">
        <f t="shared" ref="C259:C275" si="24">UPPER(TEXT(G259,"MMMM"))</f>
        <v>AGOSTO</v>
      </c>
      <c r="D259" s="47">
        <f t="shared" ref="D259:D275" si="25">YEAR(G259)</f>
        <v>2022</v>
      </c>
      <c r="E259" s="60">
        <f>IFERROR(AVERAGEIFS(K:K,A:A,'TAB DIN PROVENTOS B3'!$L$3),"")</f>
        <v>1.2070588235294117</v>
      </c>
      <c r="F259" s="54" t="s">
        <v>2425</v>
      </c>
      <c r="G259" s="55" t="s">
        <v>2528</v>
      </c>
      <c r="H259" s="54" t="s">
        <v>2412</v>
      </c>
      <c r="I259" t="s">
        <v>2348</v>
      </c>
      <c r="J259" s="36">
        <v>1</v>
      </c>
      <c r="K259" s="56">
        <v>0</v>
      </c>
      <c r="L259" s="56">
        <v>1.03</v>
      </c>
    </row>
    <row r="260" spans="1:12" x14ac:dyDescent="0.25">
      <c r="A260" s="47" t="str">
        <f t="shared" si="23"/>
        <v>BBAS3</v>
      </c>
      <c r="B260" s="92" t="s">
        <v>2344</v>
      </c>
      <c r="C260" s="47" t="str">
        <f t="shared" si="24"/>
        <v>AGOSTO</v>
      </c>
      <c r="D260" s="47">
        <f t="shared" si="25"/>
        <v>2022</v>
      </c>
      <c r="E260" s="60">
        <f>IFERROR(AVERAGEIFS(K:K,A:A,'TAB DIN PROVENTOS B3'!$L$3),"")</f>
        <v>1.2070588235294117</v>
      </c>
      <c r="F260" s="54" t="s">
        <v>2425</v>
      </c>
      <c r="G260" s="55" t="s">
        <v>2528</v>
      </c>
      <c r="H260" s="54" t="s">
        <v>2412</v>
      </c>
      <c r="I260" t="s">
        <v>2348</v>
      </c>
      <c r="J260" s="36">
        <v>1</v>
      </c>
      <c r="K260" s="56">
        <v>0.01</v>
      </c>
      <c r="L260" s="56">
        <v>2.94</v>
      </c>
    </row>
    <row r="261" spans="1:12" x14ac:dyDescent="0.25">
      <c r="A261" s="47" t="str">
        <f t="shared" si="23"/>
        <v>BBAS3</v>
      </c>
      <c r="B261" s="92" t="s">
        <v>2344</v>
      </c>
      <c r="C261" s="47" t="str">
        <f t="shared" si="24"/>
        <v>AGOSTO</v>
      </c>
      <c r="D261" s="47">
        <f t="shared" si="25"/>
        <v>2022</v>
      </c>
      <c r="E261" s="60">
        <f>IFERROR(AVERAGEIFS(K:K,A:A,'TAB DIN PROVENTOS B3'!$L$3),"")</f>
        <v>1.2070588235294117</v>
      </c>
      <c r="F261" s="54" t="s">
        <v>2425</v>
      </c>
      <c r="G261" s="55" t="s">
        <v>2528</v>
      </c>
      <c r="H261" s="54" t="s">
        <v>2350</v>
      </c>
      <c r="I261" t="s">
        <v>2348</v>
      </c>
      <c r="J261" s="36">
        <v>1</v>
      </c>
      <c r="K261" s="56">
        <v>0.2</v>
      </c>
      <c r="L261" s="56">
        <v>60.05</v>
      </c>
    </row>
    <row r="262" spans="1:12" x14ac:dyDescent="0.25">
      <c r="A262" s="47" t="str">
        <f t="shared" si="23"/>
        <v>BBAS3</v>
      </c>
      <c r="B262" s="92" t="s">
        <v>2344</v>
      </c>
      <c r="C262" s="47" t="str">
        <f t="shared" si="24"/>
        <v>AGOSTO</v>
      </c>
      <c r="D262" s="47">
        <f t="shared" si="25"/>
        <v>2022</v>
      </c>
      <c r="E262" s="60">
        <f>IFERROR(AVERAGEIFS(K:K,A:A,'TAB DIN PROVENTOS B3'!$L$3),"")</f>
        <v>1.2070588235294117</v>
      </c>
      <c r="F262" s="54" t="s">
        <v>2425</v>
      </c>
      <c r="G262" s="55" t="s">
        <v>2528</v>
      </c>
      <c r="H262" s="54" t="s">
        <v>2349</v>
      </c>
      <c r="I262" t="s">
        <v>2348</v>
      </c>
      <c r="J262" s="36">
        <v>1</v>
      </c>
      <c r="K262" s="56">
        <v>0.56999999999999995</v>
      </c>
      <c r="L262" s="56">
        <v>145.52000000000001</v>
      </c>
    </row>
    <row r="263" spans="1:12" x14ac:dyDescent="0.25">
      <c r="A263" s="47" t="str">
        <f t="shared" si="23"/>
        <v>TAEE4</v>
      </c>
      <c r="B263" s="92" t="s">
        <v>2344</v>
      </c>
      <c r="C263" s="47" t="str">
        <f t="shared" si="24"/>
        <v>AGOSTO</v>
      </c>
      <c r="D263" s="47">
        <f t="shared" si="25"/>
        <v>2022</v>
      </c>
      <c r="E263" s="60">
        <f>IFERROR(AVERAGEIFS(K:K,A:A,'TAB DIN PROVENTOS B3'!$L$3),"")</f>
        <v>1.2070588235294117</v>
      </c>
      <c r="F263" s="54" t="s">
        <v>2409</v>
      </c>
      <c r="G263" s="55" t="s">
        <v>2484</v>
      </c>
      <c r="H263" s="54" t="s">
        <v>2350</v>
      </c>
      <c r="I263" t="s">
        <v>2348</v>
      </c>
      <c r="J263" s="36">
        <v>1</v>
      </c>
      <c r="K263" s="56">
        <v>0.3</v>
      </c>
      <c r="L263" s="56">
        <v>209.15</v>
      </c>
    </row>
    <row r="264" spans="1:12" x14ac:dyDescent="0.25">
      <c r="A264" s="47" t="str">
        <f t="shared" si="23"/>
        <v>ALZR11</v>
      </c>
      <c r="B264" s="92" t="s">
        <v>1662</v>
      </c>
      <c r="C264" s="47" t="str">
        <f t="shared" si="24"/>
        <v>AGOSTO</v>
      </c>
      <c r="D264" s="47">
        <f t="shared" si="25"/>
        <v>2022</v>
      </c>
      <c r="E264" s="60">
        <f>IFERROR(AVERAGEIFS(K:K,A:A,'TAB DIN PROVENTOS B3'!$L$3),"")</f>
        <v>1.2070588235294117</v>
      </c>
      <c r="F264" s="54" t="s">
        <v>2430</v>
      </c>
      <c r="G264" s="55" t="s">
        <v>2485</v>
      </c>
      <c r="H264" s="54" t="s">
        <v>2412</v>
      </c>
      <c r="I264" t="s">
        <v>2348</v>
      </c>
      <c r="J264" s="36">
        <v>1</v>
      </c>
      <c r="K264" s="56">
        <v>0.78</v>
      </c>
      <c r="L264" s="56">
        <v>53.95</v>
      </c>
    </row>
    <row r="265" spans="1:12" x14ac:dyDescent="0.25">
      <c r="A265" s="47" t="str">
        <f t="shared" si="23"/>
        <v>BTLG11</v>
      </c>
      <c r="B265" s="92" t="s">
        <v>1662</v>
      </c>
      <c r="C265" s="47" t="str">
        <f>UPPER(TEXT(G265,"MMMM"))</f>
        <v>AGOSTO</v>
      </c>
      <c r="D265" s="47">
        <f t="shared" si="25"/>
        <v>2022</v>
      </c>
      <c r="E265" s="60">
        <f>IFERROR(AVERAGEIFS(K:K,A:A,'TAB DIN PROVENTOS B3'!$L$3),"")</f>
        <v>1.2070588235294117</v>
      </c>
      <c r="F265" s="54" t="s">
        <v>2432</v>
      </c>
      <c r="G265" s="55" t="s">
        <v>2485</v>
      </c>
      <c r="H265" s="54" t="s">
        <v>2412</v>
      </c>
      <c r="I265" t="s">
        <v>2348</v>
      </c>
      <c r="J265" s="36">
        <v>1</v>
      </c>
      <c r="K265" s="56">
        <v>0.74</v>
      </c>
      <c r="L265" s="56">
        <v>54.76</v>
      </c>
    </row>
    <row r="266" spans="1:12" x14ac:dyDescent="0.25">
      <c r="A266" s="47" t="str">
        <f t="shared" si="23"/>
        <v>IRDM11</v>
      </c>
      <c r="B266" s="92" t="s">
        <v>1662</v>
      </c>
      <c r="C266" s="47" t="str">
        <f t="shared" si="24"/>
        <v>AGOSTO</v>
      </c>
      <c r="D266" s="47">
        <f t="shared" si="25"/>
        <v>2022</v>
      </c>
      <c r="E266" s="60">
        <f>IFERROR(AVERAGEIFS(K:K,A:A,'TAB DIN PROVENTOS B3'!$L$3),"")</f>
        <v>1.2070588235294117</v>
      </c>
      <c r="F266" s="54" t="s">
        <v>2433</v>
      </c>
      <c r="G266" s="55" t="s">
        <v>2486</v>
      </c>
      <c r="H266" s="54" t="s">
        <v>2412</v>
      </c>
      <c r="I266" t="s">
        <v>2348</v>
      </c>
      <c r="J266" s="36">
        <v>1</v>
      </c>
      <c r="K266" s="56">
        <v>1.33</v>
      </c>
      <c r="L266" s="56">
        <v>90.24</v>
      </c>
    </row>
    <row r="267" spans="1:12" x14ac:dyDescent="0.25">
      <c r="A267" s="47" t="str">
        <f t="shared" si="23"/>
        <v>BCFF11</v>
      </c>
      <c r="B267" s="92" t="s">
        <v>1662</v>
      </c>
      <c r="C267" s="47" t="str">
        <f t="shared" si="24"/>
        <v>AGOSTO</v>
      </c>
      <c r="D267" s="47">
        <f t="shared" si="25"/>
        <v>2022</v>
      </c>
      <c r="E267" s="60">
        <f>IFERROR(AVERAGEIFS(K:K,A:A,'TAB DIN PROVENTOS B3'!$L$3),"")</f>
        <v>1.2070588235294117</v>
      </c>
      <c r="F267" s="54" t="s">
        <v>2414</v>
      </c>
      <c r="G267" s="55" t="s">
        <v>2487</v>
      </c>
      <c r="H267" s="54" t="s">
        <v>2412</v>
      </c>
      <c r="I267" t="s">
        <v>2348</v>
      </c>
      <c r="J267" s="36">
        <v>1</v>
      </c>
      <c r="K267" s="56">
        <v>0.56000000000000005</v>
      </c>
      <c r="L267" s="56">
        <v>68.88</v>
      </c>
    </row>
    <row r="268" spans="1:12" x14ac:dyDescent="0.25">
      <c r="A268" s="47" t="str">
        <f t="shared" si="23"/>
        <v>BRCR11</v>
      </c>
      <c r="B268" s="92" t="s">
        <v>1662</v>
      </c>
      <c r="C268" s="47" t="str">
        <f t="shared" si="24"/>
        <v>AGOSTO</v>
      </c>
      <c r="D268" s="47">
        <f t="shared" si="25"/>
        <v>2022</v>
      </c>
      <c r="E268" s="60">
        <f>IFERROR(AVERAGEIFS(K:K,A:A,'TAB DIN PROVENTOS B3'!$L$3),"")</f>
        <v>1.2070588235294117</v>
      </c>
      <c r="F268" s="54" t="s">
        <v>2415</v>
      </c>
      <c r="G268" s="55" t="s">
        <v>2487</v>
      </c>
      <c r="H268" s="54" t="s">
        <v>2412</v>
      </c>
      <c r="I268" t="s">
        <v>2348</v>
      </c>
      <c r="J268" s="36">
        <v>1</v>
      </c>
      <c r="K268" s="56">
        <v>0.47</v>
      </c>
      <c r="L268" s="56">
        <v>62.04</v>
      </c>
    </row>
    <row r="269" spans="1:12" x14ac:dyDescent="0.25">
      <c r="A269" s="47" t="str">
        <f t="shared" si="23"/>
        <v>HCTR11</v>
      </c>
      <c r="B269" s="92" t="s">
        <v>1662</v>
      </c>
      <c r="C269" s="47" t="str">
        <f t="shared" si="24"/>
        <v>AGOSTO</v>
      </c>
      <c r="D269" s="47">
        <f t="shared" si="25"/>
        <v>2022</v>
      </c>
      <c r="E269" s="60">
        <f>IFERROR(AVERAGEIFS(K:K,A:A,'TAB DIN PROVENTOS B3'!$L$3),"")</f>
        <v>1.2070588235294117</v>
      </c>
      <c r="F269" s="54" t="s">
        <v>2437</v>
      </c>
      <c r="G269" s="55" t="s">
        <v>2487</v>
      </c>
      <c r="H269" s="54" t="s">
        <v>2412</v>
      </c>
      <c r="I269" t="s">
        <v>2348</v>
      </c>
      <c r="J269" s="36">
        <v>1</v>
      </c>
      <c r="K269" s="56">
        <v>1.25</v>
      </c>
      <c r="L269" s="56">
        <v>80</v>
      </c>
    </row>
    <row r="270" spans="1:12" x14ac:dyDescent="0.25">
      <c r="A270" s="47" t="str">
        <f t="shared" si="23"/>
        <v>HGLG11</v>
      </c>
      <c r="B270" s="92" t="s">
        <v>1662</v>
      </c>
      <c r="C270" s="47" t="str">
        <f t="shared" si="24"/>
        <v>AGOSTO</v>
      </c>
      <c r="D270" s="47">
        <f t="shared" si="25"/>
        <v>2022</v>
      </c>
      <c r="E270" s="60">
        <f>IFERROR(AVERAGEIFS(K:K,A:A,'TAB DIN PROVENTOS B3'!$L$3),"")</f>
        <v>1.2070588235294117</v>
      </c>
      <c r="F270" s="54" t="s">
        <v>2416</v>
      </c>
      <c r="G270" s="55" t="s">
        <v>2487</v>
      </c>
      <c r="H270" s="54" t="s">
        <v>2412</v>
      </c>
      <c r="I270" t="s">
        <v>2348</v>
      </c>
      <c r="J270" s="36">
        <v>1</v>
      </c>
      <c r="K270" s="56">
        <v>1.1000000000000001</v>
      </c>
      <c r="L270" s="56">
        <v>56.1</v>
      </c>
    </row>
    <row r="271" spans="1:12" x14ac:dyDescent="0.25">
      <c r="A271" s="47" t="str">
        <f t="shared" si="23"/>
        <v>HGRE11</v>
      </c>
      <c r="B271" s="92" t="s">
        <v>1662</v>
      </c>
      <c r="C271" s="47" t="str">
        <f t="shared" si="24"/>
        <v>AGOSTO</v>
      </c>
      <c r="D271" s="47">
        <f t="shared" si="25"/>
        <v>2022</v>
      </c>
      <c r="E271" s="60">
        <f>IFERROR(AVERAGEIFS(K:K,A:A,'TAB DIN PROVENTOS B3'!$L$3),"")</f>
        <v>1.2070588235294117</v>
      </c>
      <c r="F271" s="54" t="s">
        <v>2417</v>
      </c>
      <c r="G271" s="55" t="s">
        <v>2487</v>
      </c>
      <c r="H271" s="54" t="s">
        <v>2412</v>
      </c>
      <c r="I271" t="s">
        <v>2348</v>
      </c>
      <c r="J271" s="36">
        <v>1</v>
      </c>
      <c r="K271" s="56">
        <v>0.78</v>
      </c>
      <c r="L271" s="56">
        <v>51.48</v>
      </c>
    </row>
    <row r="272" spans="1:12" x14ac:dyDescent="0.25">
      <c r="A272" s="47" t="str">
        <f t="shared" si="23"/>
        <v>HGRU11</v>
      </c>
      <c r="B272" s="92" t="s">
        <v>1662</v>
      </c>
      <c r="C272" s="47" t="str">
        <f t="shared" si="24"/>
        <v>AGOSTO</v>
      </c>
      <c r="D272" s="47">
        <f t="shared" si="25"/>
        <v>2022</v>
      </c>
      <c r="E272" s="60">
        <f>IFERROR(AVERAGEIFS(K:K,A:A,'TAB DIN PROVENTOS B3'!$L$3),"")</f>
        <v>1.2070588235294117</v>
      </c>
      <c r="F272" s="54" t="s">
        <v>2418</v>
      </c>
      <c r="G272" s="55" t="s">
        <v>2487</v>
      </c>
      <c r="H272" s="54" t="s">
        <v>2412</v>
      </c>
      <c r="I272" t="s">
        <v>2348</v>
      </c>
      <c r="J272" s="36">
        <v>1</v>
      </c>
      <c r="K272" s="56">
        <v>0.82</v>
      </c>
      <c r="L272" s="56">
        <v>60.68</v>
      </c>
    </row>
    <row r="273" spans="1:12" x14ac:dyDescent="0.25">
      <c r="A273" s="47" t="str">
        <f t="shared" si="23"/>
        <v>KNRI11</v>
      </c>
      <c r="B273" s="92" t="s">
        <v>1662</v>
      </c>
      <c r="C273" s="47" t="str">
        <f t="shared" si="24"/>
        <v>AGOSTO</v>
      </c>
      <c r="D273" s="47">
        <f t="shared" si="25"/>
        <v>2022</v>
      </c>
      <c r="E273" s="60">
        <f>IFERROR(AVERAGEIFS(K:K,A:A,'TAB DIN PROVENTOS B3'!$L$3),"")</f>
        <v>1.2070588235294117</v>
      </c>
      <c r="F273" s="54" t="s">
        <v>2419</v>
      </c>
      <c r="G273" s="55" t="s">
        <v>2487</v>
      </c>
      <c r="H273" s="54" t="s">
        <v>2412</v>
      </c>
      <c r="I273" t="s">
        <v>2348</v>
      </c>
      <c r="J273" s="36">
        <v>1</v>
      </c>
      <c r="K273" s="56">
        <v>0.91</v>
      </c>
      <c r="L273" s="56">
        <v>56.42</v>
      </c>
    </row>
    <row r="274" spans="1:12" x14ac:dyDescent="0.25">
      <c r="A274" s="47" t="str">
        <f t="shared" si="23"/>
        <v>MXRF11</v>
      </c>
      <c r="B274" s="92" t="s">
        <v>1662</v>
      </c>
      <c r="C274" s="47" t="str">
        <f t="shared" si="24"/>
        <v>AGOSTO</v>
      </c>
      <c r="D274" s="47">
        <f t="shared" si="25"/>
        <v>2022</v>
      </c>
      <c r="E274" s="60">
        <f>IFERROR(AVERAGEIFS(K:K,A:A,'TAB DIN PROVENTOS B3'!$L$3),"")</f>
        <v>1.2070588235294117</v>
      </c>
      <c r="F274" s="54" t="s">
        <v>2420</v>
      </c>
      <c r="G274" s="55" t="s">
        <v>2487</v>
      </c>
      <c r="H274" s="54" t="s">
        <v>2412</v>
      </c>
      <c r="I274" t="s">
        <v>2348</v>
      </c>
      <c r="J274" s="36">
        <v>1</v>
      </c>
      <c r="K274" s="56">
        <v>0.12</v>
      </c>
      <c r="L274" s="56">
        <v>120</v>
      </c>
    </row>
    <row r="275" spans="1:12" x14ac:dyDescent="0.25">
      <c r="A275" s="47" t="str">
        <f t="shared" si="23"/>
        <v>LVBI11</v>
      </c>
      <c r="B275" s="92" t="s">
        <v>1662</v>
      </c>
      <c r="C275" s="47" t="str">
        <f t="shared" si="24"/>
        <v>AGOSTO</v>
      </c>
      <c r="D275" s="47">
        <f t="shared" si="25"/>
        <v>2022</v>
      </c>
      <c r="E275" s="60">
        <f>IFERROR(AVERAGEIFS(K:K,A:A,'TAB DIN PROVENTOS B3'!$L$3),"")</f>
        <v>1.2070588235294117</v>
      </c>
      <c r="F275" s="54" t="s">
        <v>2424</v>
      </c>
      <c r="G275" s="55" t="s">
        <v>2488</v>
      </c>
      <c r="H275" s="54" t="s">
        <v>2412</v>
      </c>
      <c r="I275" t="s">
        <v>2348</v>
      </c>
      <c r="J275" s="36">
        <v>1</v>
      </c>
      <c r="K275" s="56">
        <v>0.74</v>
      </c>
      <c r="L275" s="56">
        <v>57.72</v>
      </c>
    </row>
    <row r="276" spans="1:12" x14ac:dyDescent="0.25">
      <c r="A276" s="88" t="str">
        <f t="shared" ref="A276:A294" si="26">MID(F276,1,SEARCH(" ",F276)-1)</f>
        <v>BBAS3</v>
      </c>
      <c r="B276" s="92" t="s">
        <v>2344</v>
      </c>
      <c r="C276" s="47" t="str">
        <f t="shared" ref="C276:C294" si="27">UPPER(TEXT(G276,"MMMM"))</f>
        <v>SETEMBRO</v>
      </c>
      <c r="D276" s="47">
        <f t="shared" ref="D276:D294" si="28">YEAR(G276)</f>
        <v>2022</v>
      </c>
      <c r="E276" s="60">
        <f>IFERROR(AVERAGEIFS(K:K,A:A,'TAB DIN PROVENTOS B3'!$L$3),"")</f>
        <v>1.2070588235294117</v>
      </c>
      <c r="F276" s="89" t="s">
        <v>2425</v>
      </c>
      <c r="G276" s="90">
        <v>44834</v>
      </c>
      <c r="H276" s="89" t="s">
        <v>2349</v>
      </c>
      <c r="I276" s="89" t="s">
        <v>2529</v>
      </c>
      <c r="J276" s="36">
        <v>1</v>
      </c>
      <c r="K276" s="91">
        <v>0.27</v>
      </c>
      <c r="L276" s="91">
        <v>69.81</v>
      </c>
    </row>
    <row r="277" spans="1:12" x14ac:dyDescent="0.25">
      <c r="A277" s="88" t="str">
        <f t="shared" si="26"/>
        <v>ALZR11</v>
      </c>
      <c r="B277" s="92" t="s">
        <v>1662</v>
      </c>
      <c r="C277" s="47" t="str">
        <f t="shared" si="27"/>
        <v>SETEMBRO</v>
      </c>
      <c r="D277" s="47">
        <f t="shared" si="28"/>
        <v>2022</v>
      </c>
      <c r="E277" s="60">
        <f>IFERROR(AVERAGEIFS(K:K,A:A,'TAB DIN PROVENTOS B3'!$L$3),"")</f>
        <v>1.2070588235294117</v>
      </c>
      <c r="F277" s="89" t="s">
        <v>2430</v>
      </c>
      <c r="G277" s="90">
        <v>44827</v>
      </c>
      <c r="H277" s="89" t="s">
        <v>2412</v>
      </c>
      <c r="I277" s="89" t="s">
        <v>2529</v>
      </c>
      <c r="J277" s="36">
        <v>1</v>
      </c>
      <c r="K277" s="91">
        <v>5.65</v>
      </c>
      <c r="L277" s="91">
        <v>389.89</v>
      </c>
    </row>
    <row r="278" spans="1:12" x14ac:dyDescent="0.25">
      <c r="A278" s="88" t="str">
        <f t="shared" si="26"/>
        <v>BTLG11</v>
      </c>
      <c r="B278" s="92" t="s">
        <v>1662</v>
      </c>
      <c r="C278" s="47" t="str">
        <f t="shared" si="27"/>
        <v>SETEMBRO</v>
      </c>
      <c r="D278" s="47">
        <f t="shared" si="28"/>
        <v>2022</v>
      </c>
      <c r="E278" s="60">
        <f>IFERROR(AVERAGEIFS(K:K,A:A,'TAB DIN PROVENTOS B3'!$L$3),"")</f>
        <v>1.2070588235294117</v>
      </c>
      <c r="F278" s="89" t="s">
        <v>2432</v>
      </c>
      <c r="G278" s="90">
        <v>44827</v>
      </c>
      <c r="H278" s="89" t="s">
        <v>2412</v>
      </c>
      <c r="I278" s="89" t="s">
        <v>2529</v>
      </c>
      <c r="J278" s="36">
        <v>1</v>
      </c>
      <c r="K278" s="91">
        <v>0.74</v>
      </c>
      <c r="L278" s="91">
        <v>58.46</v>
      </c>
    </row>
    <row r="279" spans="1:12" x14ac:dyDescent="0.25">
      <c r="A279" s="88" t="str">
        <f t="shared" si="26"/>
        <v>XPML11</v>
      </c>
      <c r="B279" s="92" t="s">
        <v>1662</v>
      </c>
      <c r="C279" s="47" t="str">
        <f t="shared" si="27"/>
        <v>SETEMBRO</v>
      </c>
      <c r="D279" s="47">
        <f t="shared" si="28"/>
        <v>2022</v>
      </c>
      <c r="E279" s="60">
        <f>IFERROR(AVERAGEIFS(K:K,A:A,'TAB DIN PROVENTOS B3'!$L$3),"")</f>
        <v>1.2070588235294117</v>
      </c>
      <c r="F279" s="89" t="s">
        <v>2411</v>
      </c>
      <c r="G279" s="90">
        <v>44827</v>
      </c>
      <c r="H279" s="89" t="s">
        <v>2412</v>
      </c>
      <c r="I279" s="89" t="s">
        <v>2529</v>
      </c>
      <c r="J279" s="36">
        <v>1</v>
      </c>
      <c r="K279" s="91">
        <v>0.73</v>
      </c>
      <c r="L279" s="91">
        <v>65.7</v>
      </c>
    </row>
    <row r="280" spans="1:12" x14ac:dyDescent="0.25">
      <c r="A280" s="88" t="str">
        <f t="shared" si="26"/>
        <v>IRDM11</v>
      </c>
      <c r="B280" s="92" t="s">
        <v>1662</v>
      </c>
      <c r="C280" s="47" t="str">
        <f t="shared" si="27"/>
        <v>SETEMBRO</v>
      </c>
      <c r="D280" s="47">
        <f t="shared" si="28"/>
        <v>2022</v>
      </c>
      <c r="E280" s="60">
        <f>IFERROR(AVERAGEIFS(K:K,A:A,'TAB DIN PROVENTOS B3'!$L$3),"")</f>
        <v>1.2070588235294117</v>
      </c>
      <c r="F280" s="89" t="s">
        <v>2433</v>
      </c>
      <c r="G280" s="90">
        <v>44823</v>
      </c>
      <c r="H280" s="89" t="s">
        <v>2412</v>
      </c>
      <c r="I280" s="89" t="s">
        <v>2529</v>
      </c>
      <c r="J280" s="36">
        <v>1</v>
      </c>
      <c r="K280" s="91">
        <v>1.27</v>
      </c>
      <c r="L280" s="91">
        <v>93.61</v>
      </c>
    </row>
    <row r="281" spans="1:12" x14ac:dyDescent="0.25">
      <c r="A281" s="88" t="str">
        <f t="shared" si="26"/>
        <v>BCFF11</v>
      </c>
      <c r="B281" s="92" t="s">
        <v>1662</v>
      </c>
      <c r="C281" s="47" t="str">
        <f t="shared" si="27"/>
        <v>SETEMBRO</v>
      </c>
      <c r="D281" s="47">
        <f t="shared" si="28"/>
        <v>2022</v>
      </c>
      <c r="E281" s="60">
        <f>IFERROR(AVERAGEIFS(K:K,A:A,'TAB DIN PROVENTOS B3'!$L$3),"")</f>
        <v>1.2070588235294117</v>
      </c>
      <c r="F281" s="89" t="s">
        <v>2414</v>
      </c>
      <c r="G281" s="90">
        <v>44819</v>
      </c>
      <c r="H281" s="89" t="s">
        <v>2412</v>
      </c>
      <c r="I281" s="89" t="s">
        <v>2529</v>
      </c>
      <c r="J281" s="36">
        <v>1</v>
      </c>
      <c r="K281" s="91">
        <v>0.56000000000000005</v>
      </c>
      <c r="L281" s="91">
        <v>68.88</v>
      </c>
    </row>
    <row r="282" spans="1:12" x14ac:dyDescent="0.25">
      <c r="A282" s="88" t="str">
        <f t="shared" si="26"/>
        <v>BRCR11</v>
      </c>
      <c r="B282" s="92" t="s">
        <v>1662</v>
      </c>
      <c r="C282" s="47" t="str">
        <f t="shared" si="27"/>
        <v>SETEMBRO</v>
      </c>
      <c r="D282" s="47">
        <f t="shared" si="28"/>
        <v>2022</v>
      </c>
      <c r="E282" s="60">
        <f>IFERROR(AVERAGEIFS(K:K,A:A,'TAB DIN PROVENTOS B3'!$L$3),"")</f>
        <v>1.2070588235294117</v>
      </c>
      <c r="F282" s="89" t="s">
        <v>2415</v>
      </c>
      <c r="G282" s="90">
        <v>44819</v>
      </c>
      <c r="H282" s="89" t="s">
        <v>2412</v>
      </c>
      <c r="I282" s="89" t="s">
        <v>2529</v>
      </c>
      <c r="J282" s="36">
        <v>1</v>
      </c>
      <c r="K282" s="91">
        <v>0.47</v>
      </c>
      <c r="L282" s="91">
        <v>62.04</v>
      </c>
    </row>
    <row r="283" spans="1:12" x14ac:dyDescent="0.25">
      <c r="A283" s="88" t="str">
        <f t="shared" si="26"/>
        <v>HCTR11</v>
      </c>
      <c r="B283" s="92" t="s">
        <v>1662</v>
      </c>
      <c r="C283" s="47" t="str">
        <f t="shared" si="27"/>
        <v>SETEMBRO</v>
      </c>
      <c r="D283" s="47">
        <f t="shared" si="28"/>
        <v>2022</v>
      </c>
      <c r="E283" s="60">
        <f>IFERROR(AVERAGEIFS(K:K,A:A,'TAB DIN PROVENTOS B3'!$L$3),"")</f>
        <v>1.2070588235294117</v>
      </c>
      <c r="F283" s="89" t="s">
        <v>2437</v>
      </c>
      <c r="G283" s="90">
        <v>44819</v>
      </c>
      <c r="H283" s="89" t="s">
        <v>2412</v>
      </c>
      <c r="I283" s="89" t="s">
        <v>2529</v>
      </c>
      <c r="J283" s="36">
        <v>1</v>
      </c>
      <c r="K283" s="91">
        <v>1.1000000000000001</v>
      </c>
      <c r="L283" s="91">
        <v>77</v>
      </c>
    </row>
    <row r="284" spans="1:12" x14ac:dyDescent="0.25">
      <c r="A284" s="88" t="str">
        <f t="shared" si="26"/>
        <v>HGLG11</v>
      </c>
      <c r="B284" s="92" t="s">
        <v>1662</v>
      </c>
      <c r="C284" s="47" t="str">
        <f t="shared" si="27"/>
        <v>SETEMBRO</v>
      </c>
      <c r="D284" s="47">
        <f t="shared" si="28"/>
        <v>2022</v>
      </c>
      <c r="E284" s="60">
        <f>IFERROR(AVERAGEIFS(K:K,A:A,'TAB DIN PROVENTOS B3'!$L$3),"")</f>
        <v>1.2070588235294117</v>
      </c>
      <c r="F284" s="89" t="s">
        <v>2416</v>
      </c>
      <c r="G284" s="90">
        <v>44819</v>
      </c>
      <c r="H284" s="89" t="s">
        <v>2412</v>
      </c>
      <c r="I284" s="89" t="s">
        <v>2529</v>
      </c>
      <c r="J284" s="36">
        <v>1</v>
      </c>
      <c r="K284" s="91">
        <v>1.1000000000000001</v>
      </c>
      <c r="L284" s="91">
        <v>56.1</v>
      </c>
    </row>
    <row r="285" spans="1:12" x14ac:dyDescent="0.25">
      <c r="A285" s="88" t="str">
        <f t="shared" si="26"/>
        <v>HGRE11</v>
      </c>
      <c r="B285" s="92" t="s">
        <v>1662</v>
      </c>
      <c r="C285" s="47" t="str">
        <f t="shared" si="27"/>
        <v>SETEMBRO</v>
      </c>
      <c r="D285" s="47">
        <f t="shared" si="28"/>
        <v>2022</v>
      </c>
      <c r="E285" s="60">
        <f>IFERROR(AVERAGEIFS(K:K,A:A,'TAB DIN PROVENTOS B3'!$L$3),"")</f>
        <v>1.2070588235294117</v>
      </c>
      <c r="F285" s="89" t="s">
        <v>2417</v>
      </c>
      <c r="G285" s="90">
        <v>44819</v>
      </c>
      <c r="H285" s="89" t="s">
        <v>2412</v>
      </c>
      <c r="I285" s="89" t="s">
        <v>2529</v>
      </c>
      <c r="J285" s="36">
        <v>1</v>
      </c>
      <c r="K285" s="91">
        <v>0.78</v>
      </c>
      <c r="L285" s="91">
        <v>51.48</v>
      </c>
    </row>
    <row r="286" spans="1:12" x14ac:dyDescent="0.25">
      <c r="A286" s="88" t="str">
        <f t="shared" si="26"/>
        <v>HGRU11</v>
      </c>
      <c r="B286" s="92" t="s">
        <v>1662</v>
      </c>
      <c r="C286" s="47" t="str">
        <f t="shared" si="27"/>
        <v>SETEMBRO</v>
      </c>
      <c r="D286" s="47">
        <f t="shared" si="28"/>
        <v>2022</v>
      </c>
      <c r="E286" s="60">
        <f>IFERROR(AVERAGEIFS(K:K,A:A,'TAB DIN PROVENTOS B3'!$L$3),"")</f>
        <v>1.2070588235294117</v>
      </c>
      <c r="F286" s="89" t="s">
        <v>2418</v>
      </c>
      <c r="G286" s="90">
        <v>44819</v>
      </c>
      <c r="H286" s="89" t="s">
        <v>2412</v>
      </c>
      <c r="I286" s="89" t="s">
        <v>2529</v>
      </c>
      <c r="J286" s="36">
        <v>1</v>
      </c>
      <c r="K286" s="91">
        <v>0.82</v>
      </c>
      <c r="L286" s="91">
        <v>60.68</v>
      </c>
    </row>
    <row r="287" spans="1:12" x14ac:dyDescent="0.25">
      <c r="A287" s="88" t="str">
        <f t="shared" si="26"/>
        <v>KNRI11</v>
      </c>
      <c r="B287" s="92" t="s">
        <v>1662</v>
      </c>
      <c r="C287" s="47" t="str">
        <f t="shared" si="27"/>
        <v>SETEMBRO</v>
      </c>
      <c r="D287" s="47">
        <f t="shared" si="28"/>
        <v>2022</v>
      </c>
      <c r="E287" s="60">
        <f>IFERROR(AVERAGEIFS(K:K,A:A,'TAB DIN PROVENTOS B3'!$L$3),"")</f>
        <v>1.2070588235294117</v>
      </c>
      <c r="F287" s="89" t="s">
        <v>2419</v>
      </c>
      <c r="G287" s="90">
        <v>44819</v>
      </c>
      <c r="H287" s="89" t="s">
        <v>2412</v>
      </c>
      <c r="I287" s="89" t="s">
        <v>2529</v>
      </c>
      <c r="J287" s="36">
        <v>1</v>
      </c>
      <c r="K287" s="91">
        <v>0.91</v>
      </c>
      <c r="L287" s="91">
        <v>60.97</v>
      </c>
    </row>
    <row r="288" spans="1:12" x14ac:dyDescent="0.25">
      <c r="A288" s="88" t="str">
        <f t="shared" si="26"/>
        <v>MXRF11</v>
      </c>
      <c r="B288" s="92" t="s">
        <v>1662</v>
      </c>
      <c r="C288" s="47" t="str">
        <f t="shared" si="27"/>
        <v>SETEMBRO</v>
      </c>
      <c r="D288" s="47">
        <f t="shared" si="28"/>
        <v>2022</v>
      </c>
      <c r="E288" s="60">
        <f>IFERROR(AVERAGEIFS(K:K,A:A,'TAB DIN PROVENTOS B3'!$L$3),"")</f>
        <v>1.2070588235294117</v>
      </c>
      <c r="F288" s="89" t="s">
        <v>2420</v>
      </c>
      <c r="G288" s="90">
        <v>44819</v>
      </c>
      <c r="H288" s="89" t="s">
        <v>2412</v>
      </c>
      <c r="I288" s="89" t="s">
        <v>2529</v>
      </c>
      <c r="J288" s="36">
        <v>1</v>
      </c>
      <c r="K288" s="91">
        <v>0.11</v>
      </c>
      <c r="L288" s="91">
        <v>110</v>
      </c>
    </row>
    <row r="289" spans="1:12" x14ac:dyDescent="0.25">
      <c r="A289" s="88" t="str">
        <f t="shared" si="26"/>
        <v>RBVA11</v>
      </c>
      <c r="B289" s="92" t="s">
        <v>1662</v>
      </c>
      <c r="C289" s="47" t="str">
        <f t="shared" si="27"/>
        <v>SETEMBRO</v>
      </c>
      <c r="D289" s="47">
        <f t="shared" si="28"/>
        <v>2022</v>
      </c>
      <c r="E289" s="60">
        <f>IFERROR(AVERAGEIFS(K:K,A:A,'TAB DIN PROVENTOS B3'!$L$3),"")</f>
        <v>1.2070588235294117</v>
      </c>
      <c r="F289" s="89" t="s">
        <v>2413</v>
      </c>
      <c r="G289" s="90">
        <v>44819</v>
      </c>
      <c r="H289" s="89" t="s">
        <v>2412</v>
      </c>
      <c r="I289" s="89" t="s">
        <v>2529</v>
      </c>
      <c r="J289" s="36">
        <v>1</v>
      </c>
      <c r="K289" s="91">
        <v>1.02</v>
      </c>
      <c r="L289" s="91">
        <v>90.78</v>
      </c>
    </row>
    <row r="290" spans="1:12" x14ac:dyDescent="0.25">
      <c r="A290" s="88" t="str">
        <f t="shared" si="26"/>
        <v>VILG11</v>
      </c>
      <c r="B290" s="92" t="s">
        <v>1662</v>
      </c>
      <c r="C290" s="47" t="str">
        <f t="shared" si="27"/>
        <v>SETEMBRO</v>
      </c>
      <c r="D290" s="47">
        <f t="shared" si="28"/>
        <v>2022</v>
      </c>
      <c r="E290" s="60">
        <f>IFERROR(AVERAGEIFS(K:K,A:A,'TAB DIN PROVENTOS B3'!$L$3),"")</f>
        <v>1.2070588235294117</v>
      </c>
      <c r="F290" s="89" t="s">
        <v>2438</v>
      </c>
      <c r="G290" s="90">
        <v>44819</v>
      </c>
      <c r="H290" s="89" t="s">
        <v>2412</v>
      </c>
      <c r="I290" s="89" t="s">
        <v>2529</v>
      </c>
      <c r="J290" s="36">
        <v>1</v>
      </c>
      <c r="K290" s="91">
        <v>0.72</v>
      </c>
      <c r="L290" s="91">
        <v>57.6</v>
      </c>
    </row>
    <row r="291" spans="1:12" x14ac:dyDescent="0.25">
      <c r="A291" s="88" t="str">
        <f t="shared" si="26"/>
        <v>VINO11</v>
      </c>
      <c r="B291" s="92" t="s">
        <v>1662</v>
      </c>
      <c r="C291" s="47" t="str">
        <f t="shared" si="27"/>
        <v>SETEMBRO</v>
      </c>
      <c r="D291" s="47">
        <f t="shared" si="28"/>
        <v>2022</v>
      </c>
      <c r="E291" s="60">
        <f>IFERROR(AVERAGEIFS(K:K,A:A,'TAB DIN PROVENTOS B3'!$L$3),"")</f>
        <v>1.2070588235294117</v>
      </c>
      <c r="F291" s="89" t="s">
        <v>2422</v>
      </c>
      <c r="G291" s="90">
        <v>44819</v>
      </c>
      <c r="H291" s="89" t="s">
        <v>2412</v>
      </c>
      <c r="I291" s="89" t="s">
        <v>2529</v>
      </c>
      <c r="J291" s="36">
        <v>1</v>
      </c>
      <c r="K291" s="91">
        <v>0.34</v>
      </c>
      <c r="L291" s="91">
        <v>73.099999999999994</v>
      </c>
    </row>
    <row r="292" spans="1:12" x14ac:dyDescent="0.25">
      <c r="A292" s="88" t="str">
        <f t="shared" si="26"/>
        <v>XPLG11</v>
      </c>
      <c r="B292" s="92" t="s">
        <v>1662</v>
      </c>
      <c r="C292" s="47" t="str">
        <f t="shared" si="27"/>
        <v>SETEMBRO</v>
      </c>
      <c r="D292" s="47">
        <f t="shared" si="28"/>
        <v>2022</v>
      </c>
      <c r="E292" s="60">
        <f>IFERROR(AVERAGEIFS(K:K,A:A,'TAB DIN PROVENTOS B3'!$L$3),"")</f>
        <v>1.2070588235294117</v>
      </c>
      <c r="F292" s="89" t="s">
        <v>2423</v>
      </c>
      <c r="G292" s="90">
        <v>44819</v>
      </c>
      <c r="H292" s="89" t="s">
        <v>2412</v>
      </c>
      <c r="I292" s="89" t="s">
        <v>2529</v>
      </c>
      <c r="J292" s="36">
        <v>1</v>
      </c>
      <c r="K292" s="91">
        <v>0.72</v>
      </c>
      <c r="L292" s="91">
        <v>61.92</v>
      </c>
    </row>
    <row r="293" spans="1:12" x14ac:dyDescent="0.25">
      <c r="A293" s="88" t="str">
        <f t="shared" si="26"/>
        <v>LVBI11</v>
      </c>
      <c r="B293" s="92" t="s">
        <v>1662</v>
      </c>
      <c r="C293" s="47" t="str">
        <f t="shared" si="27"/>
        <v>SETEMBRO</v>
      </c>
      <c r="D293" s="47">
        <f t="shared" si="28"/>
        <v>2022</v>
      </c>
      <c r="E293" s="60">
        <f>IFERROR(AVERAGEIFS(K:K,A:A,'TAB DIN PROVENTOS B3'!$L$3),"")</f>
        <v>1.2070588235294117</v>
      </c>
      <c r="F293" s="89" t="s">
        <v>2424</v>
      </c>
      <c r="G293" s="90">
        <v>44812</v>
      </c>
      <c r="H293" s="89" t="s">
        <v>2412</v>
      </c>
      <c r="I293" s="89" t="s">
        <v>2529</v>
      </c>
      <c r="J293" s="36">
        <v>1</v>
      </c>
      <c r="K293" s="91">
        <v>0.75</v>
      </c>
      <c r="L293" s="91">
        <v>58.5</v>
      </c>
    </row>
    <row r="294" spans="1:12" x14ac:dyDescent="0.25">
      <c r="A294" s="88" t="str">
        <f t="shared" si="26"/>
        <v>SANB4</v>
      </c>
      <c r="B294" s="92" t="s">
        <v>2344</v>
      </c>
      <c r="C294" s="47" t="str">
        <f t="shared" si="27"/>
        <v>SETEMBRO</v>
      </c>
      <c r="D294" s="47">
        <f t="shared" si="28"/>
        <v>2022</v>
      </c>
      <c r="E294" s="60">
        <f>IFERROR(AVERAGEIFS(K:K,A:A,'TAB DIN PROVENTOS B3'!$L$3),"")</f>
        <v>1.2070588235294117</v>
      </c>
      <c r="F294" s="89" t="s">
        <v>2410</v>
      </c>
      <c r="G294" s="90">
        <v>44810</v>
      </c>
      <c r="H294" s="89" t="s">
        <v>2349</v>
      </c>
      <c r="I294" s="89" t="s">
        <v>2529</v>
      </c>
      <c r="J294" s="36">
        <v>1</v>
      </c>
      <c r="K294" s="91">
        <v>0.24</v>
      </c>
      <c r="L294" s="91">
        <v>122.16</v>
      </c>
    </row>
    <row r="295" spans="1:12" x14ac:dyDescent="0.25">
      <c r="E295" s="47"/>
    </row>
    <row r="296" spans="1:12" x14ac:dyDescent="0.25">
      <c r="E296" s="47"/>
    </row>
    <row r="297" spans="1:12" x14ac:dyDescent="0.25">
      <c r="E297" s="47"/>
    </row>
    <row r="298" spans="1:12" x14ac:dyDescent="0.25">
      <c r="E298" s="47"/>
    </row>
    <row r="299" spans="1:12" x14ac:dyDescent="0.25">
      <c r="E299" s="47"/>
    </row>
    <row r="300" spans="1:12" x14ac:dyDescent="0.25">
      <c r="E300" s="47"/>
    </row>
    <row r="301" spans="1:12" x14ac:dyDescent="0.25">
      <c r="E301" s="47"/>
    </row>
    <row r="302" spans="1:12" x14ac:dyDescent="0.25">
      <c r="E302" s="47"/>
    </row>
    <row r="303" spans="1:12" x14ac:dyDescent="0.25">
      <c r="E303" s="47"/>
    </row>
    <row r="304" spans="1:12" x14ac:dyDescent="0.25">
      <c r="E304" s="47"/>
    </row>
    <row r="305" spans="5:5" x14ac:dyDescent="0.25">
      <c r="E305" s="47"/>
    </row>
    <row r="306" spans="5:5" x14ac:dyDescent="0.25">
      <c r="E306" s="47"/>
    </row>
    <row r="307" spans="5:5" x14ac:dyDescent="0.25">
      <c r="E307" s="47"/>
    </row>
    <row r="308" spans="5:5" x14ac:dyDescent="0.25">
      <c r="E308" s="47"/>
    </row>
    <row r="309" spans="5:5" x14ac:dyDescent="0.25">
      <c r="E309" s="47"/>
    </row>
    <row r="310" spans="5:5" x14ac:dyDescent="0.25">
      <c r="E310" s="47"/>
    </row>
    <row r="311" spans="5:5" x14ac:dyDescent="0.25">
      <c r="E311" s="47"/>
    </row>
    <row r="312" spans="5:5" x14ac:dyDescent="0.25">
      <c r="E312" s="47"/>
    </row>
    <row r="313" spans="5:5" x14ac:dyDescent="0.25">
      <c r="E313" s="47"/>
    </row>
    <row r="314" spans="5:5" x14ac:dyDescent="0.25">
      <c r="E314" s="47"/>
    </row>
    <row r="315" spans="5:5" x14ac:dyDescent="0.25">
      <c r="E315" s="47"/>
    </row>
    <row r="316" spans="5:5" x14ac:dyDescent="0.25">
      <c r="E316" s="47"/>
    </row>
    <row r="317" spans="5:5" x14ac:dyDescent="0.25">
      <c r="E317" s="47"/>
    </row>
    <row r="318" spans="5:5" x14ac:dyDescent="0.25">
      <c r="E318" s="47"/>
    </row>
    <row r="319" spans="5:5" x14ac:dyDescent="0.25">
      <c r="E319" s="47"/>
    </row>
    <row r="320" spans="5:5" x14ac:dyDescent="0.25">
      <c r="E320" s="47"/>
    </row>
    <row r="321" spans="5:5" x14ac:dyDescent="0.25">
      <c r="E321" s="47"/>
    </row>
    <row r="322" spans="5:5" x14ac:dyDescent="0.25">
      <c r="E322" s="47"/>
    </row>
    <row r="323" spans="5:5" x14ac:dyDescent="0.25">
      <c r="E323" s="47"/>
    </row>
    <row r="324" spans="5:5" x14ac:dyDescent="0.25">
      <c r="E324" s="47"/>
    </row>
    <row r="325" spans="5:5" x14ac:dyDescent="0.25">
      <c r="E325" s="47"/>
    </row>
    <row r="326" spans="5:5" x14ac:dyDescent="0.25">
      <c r="E326" s="47"/>
    </row>
    <row r="327" spans="5:5" x14ac:dyDescent="0.25">
      <c r="E327" s="47"/>
    </row>
    <row r="328" spans="5:5" x14ac:dyDescent="0.25">
      <c r="E328" s="47"/>
    </row>
    <row r="329" spans="5:5" x14ac:dyDescent="0.25">
      <c r="E329" s="47"/>
    </row>
    <row r="330" spans="5:5" x14ac:dyDescent="0.25">
      <c r="E330" s="47"/>
    </row>
    <row r="331" spans="5:5" x14ac:dyDescent="0.25">
      <c r="E331" s="47"/>
    </row>
    <row r="332" spans="5:5" x14ac:dyDescent="0.25">
      <c r="E332" s="47"/>
    </row>
    <row r="333" spans="5:5" x14ac:dyDescent="0.25">
      <c r="E333" s="47"/>
    </row>
    <row r="334" spans="5:5" x14ac:dyDescent="0.25">
      <c r="E334" s="47"/>
    </row>
    <row r="335" spans="5:5" x14ac:dyDescent="0.25">
      <c r="E335" s="47"/>
    </row>
    <row r="336" spans="5:5" x14ac:dyDescent="0.25">
      <c r="E336" s="47"/>
    </row>
    <row r="337" spans="5:5" x14ac:dyDescent="0.25">
      <c r="E337" s="47"/>
    </row>
    <row r="338" spans="5:5" x14ac:dyDescent="0.25">
      <c r="E338" s="47"/>
    </row>
    <row r="339" spans="5:5" x14ac:dyDescent="0.25">
      <c r="E339" s="47"/>
    </row>
    <row r="340" spans="5:5" x14ac:dyDescent="0.25">
      <c r="E340" s="47"/>
    </row>
    <row r="341" spans="5:5" x14ac:dyDescent="0.25">
      <c r="E341" s="47"/>
    </row>
    <row r="342" spans="5:5" x14ac:dyDescent="0.25">
      <c r="E342" s="47"/>
    </row>
    <row r="343" spans="5:5" x14ac:dyDescent="0.25">
      <c r="E343" s="47"/>
    </row>
    <row r="344" spans="5:5" x14ac:dyDescent="0.25">
      <c r="E344" s="47"/>
    </row>
    <row r="345" spans="5:5" x14ac:dyDescent="0.25">
      <c r="E345" s="47"/>
    </row>
    <row r="346" spans="5:5" x14ac:dyDescent="0.25">
      <c r="E346" s="47"/>
    </row>
    <row r="347" spans="5:5" x14ac:dyDescent="0.25">
      <c r="E347" s="47"/>
    </row>
    <row r="348" spans="5:5" x14ac:dyDescent="0.25">
      <c r="E348" s="47"/>
    </row>
    <row r="349" spans="5:5" x14ac:dyDescent="0.25">
      <c r="E349" s="47"/>
    </row>
    <row r="350" spans="5:5" x14ac:dyDescent="0.25">
      <c r="E350" s="47"/>
    </row>
    <row r="351" spans="5:5" x14ac:dyDescent="0.25">
      <c r="E351" s="47"/>
    </row>
    <row r="352" spans="5:5" x14ac:dyDescent="0.25">
      <c r="E352" s="47"/>
    </row>
    <row r="353" spans="5:5" x14ac:dyDescent="0.25">
      <c r="E353" s="47"/>
    </row>
    <row r="354" spans="5:5" x14ac:dyDescent="0.25">
      <c r="E354" s="47"/>
    </row>
    <row r="355" spans="5:5" x14ac:dyDescent="0.25">
      <c r="E355" s="47"/>
    </row>
    <row r="356" spans="5:5" x14ac:dyDescent="0.25">
      <c r="E356" s="47"/>
    </row>
    <row r="357" spans="5:5" x14ac:dyDescent="0.25">
      <c r="E357" s="47"/>
    </row>
    <row r="358" spans="5:5" x14ac:dyDescent="0.25">
      <c r="E358" s="47"/>
    </row>
    <row r="359" spans="5:5" x14ac:dyDescent="0.25">
      <c r="E359" s="47"/>
    </row>
    <row r="360" spans="5:5" x14ac:dyDescent="0.25">
      <c r="E360" s="47"/>
    </row>
    <row r="361" spans="5:5" x14ac:dyDescent="0.25">
      <c r="E361" s="47"/>
    </row>
    <row r="362" spans="5:5" x14ac:dyDescent="0.25">
      <c r="E362" s="47"/>
    </row>
    <row r="363" spans="5:5" x14ac:dyDescent="0.25">
      <c r="E363" s="47"/>
    </row>
    <row r="364" spans="5:5" x14ac:dyDescent="0.25">
      <c r="E364" s="47"/>
    </row>
    <row r="365" spans="5:5" x14ac:dyDescent="0.25">
      <c r="E365" s="47"/>
    </row>
    <row r="366" spans="5:5" x14ac:dyDescent="0.25">
      <c r="E366" s="47"/>
    </row>
    <row r="367" spans="5:5" x14ac:dyDescent="0.25">
      <c r="E367" s="47"/>
    </row>
    <row r="368" spans="5:5" x14ac:dyDescent="0.25">
      <c r="E368" s="47"/>
    </row>
    <row r="369" spans="5:5" x14ac:dyDescent="0.25">
      <c r="E369" s="47"/>
    </row>
    <row r="370" spans="5:5" x14ac:dyDescent="0.25">
      <c r="E370" s="47"/>
    </row>
    <row r="371" spans="5:5" x14ac:dyDescent="0.25">
      <c r="E371" s="47"/>
    </row>
    <row r="372" spans="5:5" x14ac:dyDescent="0.25">
      <c r="E372" s="47"/>
    </row>
    <row r="373" spans="5:5" x14ac:dyDescent="0.25">
      <c r="E373" s="47"/>
    </row>
    <row r="374" spans="5:5" x14ac:dyDescent="0.25">
      <c r="E374" s="47"/>
    </row>
    <row r="375" spans="5:5" x14ac:dyDescent="0.25">
      <c r="E375" s="47"/>
    </row>
    <row r="376" spans="5:5" x14ac:dyDescent="0.25">
      <c r="E376" s="47"/>
    </row>
    <row r="377" spans="5:5" x14ac:dyDescent="0.25">
      <c r="E377" s="47"/>
    </row>
    <row r="378" spans="5:5" x14ac:dyDescent="0.25">
      <c r="E378" s="47"/>
    </row>
    <row r="379" spans="5:5" x14ac:dyDescent="0.25">
      <c r="E379" s="47"/>
    </row>
    <row r="380" spans="5:5" x14ac:dyDescent="0.25">
      <c r="E380" s="47"/>
    </row>
    <row r="381" spans="5:5" x14ac:dyDescent="0.25">
      <c r="E381" s="47"/>
    </row>
    <row r="382" spans="5:5" x14ac:dyDescent="0.25">
      <c r="E382" s="47"/>
    </row>
    <row r="383" spans="5:5" x14ac:dyDescent="0.25">
      <c r="E383" s="47"/>
    </row>
    <row r="384" spans="5:5" x14ac:dyDescent="0.25">
      <c r="E384" s="47"/>
    </row>
    <row r="385" spans="5:5" x14ac:dyDescent="0.25">
      <c r="E385" s="47"/>
    </row>
    <row r="386" spans="5:5" x14ac:dyDescent="0.25">
      <c r="E386" s="47"/>
    </row>
    <row r="387" spans="5:5" x14ac:dyDescent="0.25">
      <c r="E387" s="47"/>
    </row>
    <row r="388" spans="5:5" x14ac:dyDescent="0.25">
      <c r="E388" s="47"/>
    </row>
    <row r="389" spans="5:5" x14ac:dyDescent="0.25">
      <c r="E389" s="47"/>
    </row>
    <row r="390" spans="5:5" x14ac:dyDescent="0.25">
      <c r="E390" s="47"/>
    </row>
    <row r="391" spans="5:5" x14ac:dyDescent="0.25">
      <c r="E391" s="47"/>
    </row>
    <row r="392" spans="5:5" x14ac:dyDescent="0.25">
      <c r="E392" s="47"/>
    </row>
    <row r="393" spans="5:5" x14ac:dyDescent="0.25">
      <c r="E393" s="47"/>
    </row>
    <row r="394" spans="5:5" x14ac:dyDescent="0.25">
      <c r="E394" s="47"/>
    </row>
    <row r="395" spans="5:5" x14ac:dyDescent="0.25">
      <c r="E395" s="47"/>
    </row>
    <row r="396" spans="5:5" x14ac:dyDescent="0.25">
      <c r="E396" s="47"/>
    </row>
    <row r="397" spans="5:5" x14ac:dyDescent="0.25">
      <c r="E397" s="47"/>
    </row>
    <row r="398" spans="5:5" x14ac:dyDescent="0.25">
      <c r="E398" s="47"/>
    </row>
    <row r="399" spans="5:5" x14ac:dyDescent="0.25">
      <c r="E399" s="47"/>
    </row>
    <row r="400" spans="5:5" x14ac:dyDescent="0.25">
      <c r="E400" s="47"/>
    </row>
    <row r="401" spans="5:5" x14ac:dyDescent="0.25">
      <c r="E401" s="47"/>
    </row>
    <row r="402" spans="5:5" x14ac:dyDescent="0.25">
      <c r="E402" s="47"/>
    </row>
    <row r="403" spans="5:5" x14ac:dyDescent="0.25">
      <c r="E403" s="47"/>
    </row>
    <row r="404" spans="5:5" x14ac:dyDescent="0.25">
      <c r="E404" s="47"/>
    </row>
    <row r="405" spans="5:5" x14ac:dyDescent="0.25">
      <c r="E405" s="47"/>
    </row>
    <row r="406" spans="5:5" x14ac:dyDescent="0.25">
      <c r="E406" s="47"/>
    </row>
    <row r="407" spans="5:5" x14ac:dyDescent="0.25">
      <c r="E407" s="47"/>
    </row>
    <row r="408" spans="5:5" x14ac:dyDescent="0.25">
      <c r="E408" s="47"/>
    </row>
    <row r="409" spans="5:5" x14ac:dyDescent="0.25">
      <c r="E409" s="47"/>
    </row>
    <row r="410" spans="5:5" x14ac:dyDescent="0.25">
      <c r="E410" s="47"/>
    </row>
    <row r="411" spans="5:5" x14ac:dyDescent="0.25">
      <c r="E411" s="47"/>
    </row>
    <row r="412" spans="5:5" x14ac:dyDescent="0.25">
      <c r="E412" s="47"/>
    </row>
    <row r="413" spans="5:5" x14ac:dyDescent="0.25">
      <c r="E413" s="47"/>
    </row>
    <row r="414" spans="5:5" x14ac:dyDescent="0.25">
      <c r="E414" s="47"/>
    </row>
    <row r="415" spans="5:5" x14ac:dyDescent="0.25">
      <c r="E415" s="47"/>
    </row>
    <row r="416" spans="5:5" x14ac:dyDescent="0.25">
      <c r="E416" s="47"/>
    </row>
    <row r="417" spans="5:5" x14ac:dyDescent="0.25">
      <c r="E417" s="47"/>
    </row>
    <row r="418" spans="5:5" x14ac:dyDescent="0.25">
      <c r="E418" s="47"/>
    </row>
    <row r="419" spans="5:5" x14ac:dyDescent="0.25">
      <c r="E419" s="47"/>
    </row>
    <row r="420" spans="5:5" x14ac:dyDescent="0.25">
      <c r="E420" s="47"/>
    </row>
    <row r="421" spans="5:5" x14ac:dyDescent="0.25">
      <c r="E421" s="47"/>
    </row>
    <row r="422" spans="5:5" x14ac:dyDescent="0.25">
      <c r="E422" s="47"/>
    </row>
    <row r="423" spans="5:5" x14ac:dyDescent="0.25">
      <c r="E423" s="47"/>
    </row>
    <row r="424" spans="5:5" x14ac:dyDescent="0.25">
      <c r="E424" s="47"/>
    </row>
    <row r="425" spans="5:5" x14ac:dyDescent="0.25">
      <c r="E425" s="47"/>
    </row>
    <row r="426" spans="5:5" x14ac:dyDescent="0.25">
      <c r="E426" s="47"/>
    </row>
    <row r="427" spans="5:5" x14ac:dyDescent="0.25">
      <c r="E427" s="47"/>
    </row>
    <row r="428" spans="5:5" x14ac:dyDescent="0.25">
      <c r="E428" s="47"/>
    </row>
    <row r="429" spans="5:5" x14ac:dyDescent="0.25">
      <c r="E429" s="47"/>
    </row>
    <row r="430" spans="5:5" x14ac:dyDescent="0.25">
      <c r="E430" s="47"/>
    </row>
    <row r="431" spans="5:5" x14ac:dyDescent="0.25">
      <c r="E431" s="47"/>
    </row>
    <row r="432" spans="5:5" x14ac:dyDescent="0.25">
      <c r="E432" s="47"/>
    </row>
    <row r="433" spans="5:5" x14ac:dyDescent="0.25">
      <c r="E433" s="47"/>
    </row>
    <row r="434" spans="5:5" x14ac:dyDescent="0.25">
      <c r="E434" s="47"/>
    </row>
    <row r="435" spans="5:5" x14ac:dyDescent="0.25">
      <c r="E435" s="47"/>
    </row>
    <row r="436" spans="5:5" x14ac:dyDescent="0.25">
      <c r="E436" s="47"/>
    </row>
    <row r="437" spans="5:5" x14ac:dyDescent="0.25">
      <c r="E437" s="47"/>
    </row>
    <row r="438" spans="5:5" x14ac:dyDescent="0.25">
      <c r="E438" s="47"/>
    </row>
    <row r="439" spans="5:5" x14ac:dyDescent="0.25">
      <c r="E439" s="47"/>
    </row>
    <row r="440" spans="5:5" x14ac:dyDescent="0.25">
      <c r="E440" s="47"/>
    </row>
    <row r="441" spans="5:5" x14ac:dyDescent="0.25">
      <c r="E441" s="47"/>
    </row>
    <row r="442" spans="5:5" x14ac:dyDescent="0.25">
      <c r="E442" s="47"/>
    </row>
    <row r="443" spans="5:5" x14ac:dyDescent="0.25">
      <c r="E443" s="47"/>
    </row>
    <row r="444" spans="5:5" x14ac:dyDescent="0.25">
      <c r="E444" s="47"/>
    </row>
    <row r="445" spans="5:5" x14ac:dyDescent="0.25">
      <c r="E445" s="47"/>
    </row>
    <row r="446" spans="5:5" x14ac:dyDescent="0.25">
      <c r="E446" s="47"/>
    </row>
    <row r="447" spans="5:5" x14ac:dyDescent="0.25">
      <c r="E447" s="47"/>
    </row>
    <row r="448" spans="5:5" x14ac:dyDescent="0.25">
      <c r="E448" s="47"/>
    </row>
    <row r="449" spans="5:5" x14ac:dyDescent="0.25">
      <c r="E449" s="47"/>
    </row>
    <row r="450" spans="5:5" x14ac:dyDescent="0.25">
      <c r="E450" s="47"/>
    </row>
    <row r="451" spans="5:5" x14ac:dyDescent="0.25">
      <c r="E451" s="47"/>
    </row>
    <row r="452" spans="5:5" x14ac:dyDescent="0.25">
      <c r="E452" s="47"/>
    </row>
    <row r="453" spans="5:5" x14ac:dyDescent="0.25">
      <c r="E453" s="47"/>
    </row>
    <row r="454" spans="5:5" x14ac:dyDescent="0.25">
      <c r="E454" s="47"/>
    </row>
    <row r="455" spans="5:5" x14ac:dyDescent="0.25">
      <c r="E455" s="47"/>
    </row>
    <row r="456" spans="5:5" x14ac:dyDescent="0.25">
      <c r="E456" s="47"/>
    </row>
    <row r="457" spans="5:5" x14ac:dyDescent="0.25">
      <c r="E457" s="47"/>
    </row>
    <row r="458" spans="5:5" x14ac:dyDescent="0.25">
      <c r="E458" s="47"/>
    </row>
    <row r="459" spans="5:5" x14ac:dyDescent="0.25">
      <c r="E459" s="47"/>
    </row>
    <row r="460" spans="5:5" x14ac:dyDescent="0.25">
      <c r="E460" s="47"/>
    </row>
    <row r="461" spans="5:5" x14ac:dyDescent="0.25">
      <c r="E461" s="47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59468-E487-43B0-8612-9CD64DA19D5B}">
  <sheetPr codeName="Planilha4"/>
  <dimension ref="A1:Y26"/>
  <sheetViews>
    <sheetView workbookViewId="0">
      <selection activeCell="B3" sqref="B3:Y3"/>
    </sheetView>
  </sheetViews>
  <sheetFormatPr defaultRowHeight="15" x14ac:dyDescent="0.25"/>
  <cols>
    <col min="1" max="1" width="18" bestFit="1" customWidth="1"/>
    <col min="2" max="2" width="27.7109375" bestFit="1" customWidth="1"/>
    <col min="4" max="4" width="5.140625" customWidth="1"/>
    <col min="5" max="5" width="19" bestFit="1" customWidth="1"/>
    <col min="6" max="6" width="5.42578125" bestFit="1" customWidth="1"/>
    <col min="7" max="7" width="2.7109375" customWidth="1"/>
    <col min="8" max="8" width="19" bestFit="1" customWidth="1"/>
    <col min="9" max="9" width="8.42578125" bestFit="1" customWidth="1"/>
    <col min="10" max="10" width="3.7109375" customWidth="1"/>
    <col min="11" max="11" width="31.42578125" bestFit="1" customWidth="1"/>
    <col min="12" max="12" width="27.7109375" bestFit="1" customWidth="1"/>
    <col min="14" max="14" width="18" bestFit="1" customWidth="1"/>
    <col min="15" max="15" width="27.7109375" bestFit="1" customWidth="1"/>
    <col min="17" max="17" width="18" bestFit="1" customWidth="1"/>
    <col min="18" max="18" width="24.42578125" bestFit="1" customWidth="1"/>
    <col min="19" max="19" width="21.85546875" bestFit="1" customWidth="1"/>
    <col min="20" max="20" width="22.28515625" bestFit="1" customWidth="1"/>
    <col min="22" max="22" width="18" bestFit="1" customWidth="1"/>
    <col min="23" max="23" width="24.42578125" bestFit="1" customWidth="1"/>
    <col min="24" max="24" width="21.85546875" bestFit="1" customWidth="1"/>
    <col min="25" max="25" width="22.28515625" bestFit="1" customWidth="1"/>
  </cols>
  <sheetData>
    <row r="1" spans="1:25" x14ac:dyDescent="0.25">
      <c r="E1" s="37" t="s">
        <v>2346</v>
      </c>
      <c r="F1" t="s">
        <v>1662</v>
      </c>
      <c r="H1" s="37" t="s">
        <v>2346</v>
      </c>
      <c r="I1" t="s">
        <v>2344</v>
      </c>
      <c r="K1" s="37" t="s">
        <v>2346</v>
      </c>
      <c r="L1" t="s">
        <v>1662</v>
      </c>
      <c r="N1" s="37" t="s">
        <v>2346</v>
      </c>
      <c r="O1" t="s">
        <v>2344</v>
      </c>
      <c r="Q1" s="37" t="s">
        <v>2346</v>
      </c>
      <c r="R1" t="s">
        <v>1662</v>
      </c>
      <c r="V1" s="37" t="s">
        <v>2346</v>
      </c>
      <c r="W1" t="s">
        <v>2344</v>
      </c>
    </row>
    <row r="3" spans="1:25" x14ac:dyDescent="0.25">
      <c r="A3" s="37" t="s">
        <v>2376</v>
      </c>
      <c r="B3" t="s">
        <v>2527</v>
      </c>
      <c r="E3" s="37" t="s">
        <v>2376</v>
      </c>
      <c r="F3" t="s">
        <v>2527</v>
      </c>
      <c r="H3" s="37" t="s">
        <v>2376</v>
      </c>
      <c r="I3" t="s">
        <v>2527</v>
      </c>
      <c r="K3" s="37" t="s">
        <v>2376</v>
      </c>
      <c r="L3" t="s">
        <v>2527</v>
      </c>
      <c r="N3" s="37" t="s">
        <v>2376</v>
      </c>
      <c r="O3" t="s">
        <v>2527</v>
      </c>
      <c r="Q3" s="37" t="s">
        <v>2376</v>
      </c>
      <c r="R3" t="s">
        <v>2543</v>
      </c>
      <c r="S3" t="s">
        <v>2545</v>
      </c>
      <c r="T3" t="s">
        <v>2544</v>
      </c>
      <c r="V3" s="37" t="s">
        <v>2376</v>
      </c>
      <c r="W3" t="s">
        <v>2543</v>
      </c>
      <c r="X3" t="s">
        <v>2545</v>
      </c>
      <c r="Y3" t="s">
        <v>2544</v>
      </c>
    </row>
    <row r="4" spans="1:25" x14ac:dyDescent="0.25">
      <c r="A4" s="36" t="s">
        <v>2344</v>
      </c>
      <c r="B4" s="4">
        <v>23343.439999999999</v>
      </c>
      <c r="C4" s="51">
        <f>GETPIVOTDATA("PATRIMONIO ATUAL",$A$3,"TIPO","AÇÃO")/GETPIVOTDATA("PATRIMONIO ATUAL",$A$3)</f>
        <v>0.29459228958369665</v>
      </c>
      <c r="E4" s="36" t="s">
        <v>4</v>
      </c>
      <c r="F4" s="4">
        <v>3516.9</v>
      </c>
      <c r="G4" s="51"/>
      <c r="H4" s="36" t="s">
        <v>1263</v>
      </c>
      <c r="I4" s="4">
        <v>3719.25</v>
      </c>
      <c r="K4" s="36" t="s">
        <v>2540</v>
      </c>
      <c r="L4" s="4">
        <v>7688.4</v>
      </c>
      <c r="N4" s="36" t="s">
        <v>2345</v>
      </c>
      <c r="O4" s="4">
        <v>8810.99</v>
      </c>
      <c r="Q4" s="36" t="s">
        <v>4</v>
      </c>
      <c r="R4" s="4">
        <v>117.23</v>
      </c>
      <c r="S4" s="4">
        <v>110.96</v>
      </c>
      <c r="T4" s="62">
        <v>5.6506849315068663E-2</v>
      </c>
      <c r="V4" s="36" t="s">
        <v>1263</v>
      </c>
      <c r="W4" s="4">
        <v>13.05</v>
      </c>
      <c r="X4" s="4">
        <v>12.78</v>
      </c>
      <c r="Y4" s="62">
        <v>2.1126760563380476E-2</v>
      </c>
    </row>
    <row r="5" spans="1:25" x14ac:dyDescent="0.25">
      <c r="A5" s="36" t="s">
        <v>1662</v>
      </c>
      <c r="B5" s="4">
        <v>55896.380000000005</v>
      </c>
      <c r="C5" s="51">
        <f>GETPIVOTDATA("PATRIMONIO ATUAL",$A$3,"TIPO","FII")/GETPIVOTDATA("PATRIMONIO ATUAL",$A$3)</f>
        <v>0.70540771041630335</v>
      </c>
      <c r="E5" s="36" t="s">
        <v>12</v>
      </c>
      <c r="F5" s="4">
        <v>3870.7200000000003</v>
      </c>
      <c r="G5" s="51"/>
      <c r="H5" s="36" t="s">
        <v>289</v>
      </c>
      <c r="I5" s="4">
        <v>4237.2000000000007</v>
      </c>
      <c r="K5" s="36" t="s">
        <v>2536</v>
      </c>
      <c r="L5" s="4">
        <v>13743.400000000001</v>
      </c>
      <c r="N5" s="36" t="s">
        <v>1440</v>
      </c>
      <c r="O5" s="4">
        <v>11876.45</v>
      </c>
      <c r="Q5" s="36" t="s">
        <v>12</v>
      </c>
      <c r="R5" s="4">
        <v>71.680000000000007</v>
      </c>
      <c r="S5" s="4">
        <v>77.819999999999993</v>
      </c>
      <c r="T5" s="62">
        <v>-7.8900025700333942E-2</v>
      </c>
      <c r="V5" s="36" t="s">
        <v>289</v>
      </c>
      <c r="W5" s="4">
        <v>38.520000000000003</v>
      </c>
      <c r="X5" s="4">
        <v>30.71</v>
      </c>
      <c r="Y5" s="62">
        <v>0.25431455551937487</v>
      </c>
    </row>
    <row r="6" spans="1:25" x14ac:dyDescent="0.25">
      <c r="A6" s="36" t="s">
        <v>2377</v>
      </c>
      <c r="B6" s="4">
        <v>79239.820000000007</v>
      </c>
      <c r="E6" s="36" t="s">
        <v>20</v>
      </c>
      <c r="F6" s="4">
        <v>3698.8700000000003</v>
      </c>
      <c r="H6" s="36" t="s">
        <v>266</v>
      </c>
      <c r="I6" s="4">
        <v>1782</v>
      </c>
      <c r="K6" s="36" t="s">
        <v>2538</v>
      </c>
      <c r="L6" s="4">
        <v>19774.59</v>
      </c>
      <c r="N6" s="36" t="s">
        <v>1441</v>
      </c>
      <c r="O6" s="4">
        <v>2656</v>
      </c>
      <c r="Q6" s="36" t="s">
        <v>20</v>
      </c>
      <c r="R6" s="4">
        <v>69.790000000000006</v>
      </c>
      <c r="S6" s="4">
        <v>74.37</v>
      </c>
      <c r="T6" s="62">
        <v>-6.1583972031733158E-2</v>
      </c>
      <c r="V6" s="36" t="s">
        <v>266</v>
      </c>
      <c r="W6" s="4">
        <v>16.2</v>
      </c>
      <c r="X6" s="4">
        <v>15.45</v>
      </c>
      <c r="Y6" s="62">
        <v>4.8543689320388328E-2</v>
      </c>
    </row>
    <row r="7" spans="1:25" x14ac:dyDescent="0.25">
      <c r="E7" s="36" t="s">
        <v>22</v>
      </c>
      <c r="F7" s="4">
        <v>2575</v>
      </c>
      <c r="H7" s="36" t="s">
        <v>264</v>
      </c>
      <c r="I7" s="4">
        <v>3920</v>
      </c>
      <c r="K7" s="36" t="s">
        <v>2541</v>
      </c>
      <c r="L7" s="4">
        <v>8540.9499999999989</v>
      </c>
      <c r="N7" s="36" t="s">
        <v>2377</v>
      </c>
      <c r="O7" s="4">
        <v>23343.440000000002</v>
      </c>
      <c r="Q7" s="36" t="s">
        <v>22</v>
      </c>
      <c r="R7" s="4">
        <v>103</v>
      </c>
      <c r="S7" s="4">
        <v>108.34</v>
      </c>
      <c r="T7" s="62">
        <v>-4.9289274506184255E-2</v>
      </c>
      <c r="V7" s="36" t="s">
        <v>264</v>
      </c>
      <c r="W7" s="4">
        <v>16</v>
      </c>
      <c r="X7" s="4">
        <v>18.010000000000002</v>
      </c>
      <c r="Y7" s="62">
        <v>-0.11160466407551373</v>
      </c>
    </row>
    <row r="8" spans="1:25" x14ac:dyDescent="0.25">
      <c r="E8" s="36" t="s">
        <v>57</v>
      </c>
      <c r="F8" s="4">
        <v>3565.7999999999997</v>
      </c>
      <c r="H8" s="36" t="s">
        <v>287</v>
      </c>
      <c r="I8" s="4">
        <v>2656</v>
      </c>
      <c r="K8" s="36" t="s">
        <v>2539</v>
      </c>
      <c r="L8" s="4">
        <v>2278.3200000000002</v>
      </c>
      <c r="Q8" s="36" t="s">
        <v>57</v>
      </c>
      <c r="R8" s="4">
        <v>101.88</v>
      </c>
      <c r="S8" s="4">
        <v>126.42</v>
      </c>
      <c r="T8" s="62">
        <v>-0.1941148552444234</v>
      </c>
      <c r="V8" s="36" t="s">
        <v>287</v>
      </c>
      <c r="W8" s="4">
        <v>3.32</v>
      </c>
      <c r="X8" s="4">
        <v>4.1100000000000003</v>
      </c>
      <c r="Y8" s="62">
        <v>-0.19221411192214122</v>
      </c>
    </row>
    <row r="9" spans="1:25" x14ac:dyDescent="0.25">
      <c r="E9" s="36" t="s">
        <v>62</v>
      </c>
      <c r="F9" s="4">
        <v>3601.5</v>
      </c>
      <c r="H9" s="36" t="s">
        <v>277</v>
      </c>
      <c r="I9" s="4">
        <v>3468.64</v>
      </c>
      <c r="K9" s="36" t="s">
        <v>2537</v>
      </c>
      <c r="L9" s="4">
        <v>3870.7200000000003</v>
      </c>
      <c r="Q9" s="36" t="s">
        <v>62</v>
      </c>
      <c r="R9" s="4">
        <v>171.5</v>
      </c>
      <c r="S9" s="4">
        <v>166.39</v>
      </c>
      <c r="T9" s="62">
        <v>3.071098022717722E-2</v>
      </c>
      <c r="V9" s="36" t="s">
        <v>277</v>
      </c>
      <c r="W9" s="4">
        <v>13.04</v>
      </c>
      <c r="X9" s="4">
        <v>11.62</v>
      </c>
      <c r="Y9" s="62">
        <v>0.12220309810671259</v>
      </c>
    </row>
    <row r="10" spans="1:25" x14ac:dyDescent="0.25">
      <c r="E10" s="36" t="s">
        <v>64</v>
      </c>
      <c r="F10" s="4">
        <v>4035.36</v>
      </c>
      <c r="H10" s="36" t="s">
        <v>262</v>
      </c>
      <c r="I10" s="4">
        <v>3560.35</v>
      </c>
      <c r="K10" s="36" t="s">
        <v>2377</v>
      </c>
      <c r="L10" s="4">
        <v>55896.38</v>
      </c>
      <c r="Q10" s="36" t="s">
        <v>64</v>
      </c>
      <c r="R10" s="4">
        <v>144.12</v>
      </c>
      <c r="S10" s="4">
        <v>139.21</v>
      </c>
      <c r="T10" s="62">
        <v>3.5270454708713483E-2</v>
      </c>
      <c r="V10" s="36" t="s">
        <v>262</v>
      </c>
      <c r="W10" s="4">
        <v>22.97</v>
      </c>
      <c r="X10" s="4">
        <v>22.62</v>
      </c>
      <c r="Y10" s="62">
        <v>1.5473032714411916E-2</v>
      </c>
    </row>
    <row r="11" spans="1:25" x14ac:dyDescent="0.25">
      <c r="E11" s="36" t="s">
        <v>65</v>
      </c>
      <c r="F11" s="4">
        <v>3104.3999999999996</v>
      </c>
      <c r="H11" s="36" t="s">
        <v>2377</v>
      </c>
      <c r="I11" s="38">
        <v>23343.439999999999</v>
      </c>
      <c r="Q11" s="36" t="s">
        <v>65</v>
      </c>
      <c r="R11" s="4">
        <v>129.35</v>
      </c>
      <c r="S11" s="4">
        <v>118.54</v>
      </c>
      <c r="T11" s="62">
        <v>9.1192846296608732E-2</v>
      </c>
      <c r="V11" s="36" t="s">
        <v>2377</v>
      </c>
      <c r="W11" s="4">
        <v>123.1</v>
      </c>
      <c r="X11" s="4">
        <v>115.30000000000001</v>
      </c>
      <c r="Y11" s="62">
        <v>0.15784236022661324</v>
      </c>
    </row>
    <row r="12" spans="1:25" x14ac:dyDescent="0.25">
      <c r="E12" s="36" t="s">
        <v>72</v>
      </c>
      <c r="F12" s="4">
        <v>2575.25</v>
      </c>
      <c r="Q12" s="36" t="s">
        <v>72</v>
      </c>
      <c r="R12" s="4">
        <v>103.01</v>
      </c>
      <c r="S12" s="4">
        <v>108.36</v>
      </c>
      <c r="T12" s="62">
        <v>-4.9372462163159825E-2</v>
      </c>
    </row>
    <row r="13" spans="1:25" x14ac:dyDescent="0.25">
      <c r="E13" s="36" t="s">
        <v>80</v>
      </c>
      <c r="F13" s="4">
        <v>4584</v>
      </c>
      <c r="H13" s="37" t="s">
        <v>2346</v>
      </c>
      <c r="I13" t="s">
        <v>2344</v>
      </c>
      <c r="Q13" s="36" t="s">
        <v>80</v>
      </c>
      <c r="R13" s="4">
        <v>152.80000000000001</v>
      </c>
      <c r="S13" s="4">
        <v>149.57</v>
      </c>
      <c r="T13" s="62">
        <v>2.1595239687103085E-2</v>
      </c>
    </row>
    <row r="14" spans="1:25" x14ac:dyDescent="0.25">
      <c r="E14" s="36" t="s">
        <v>84</v>
      </c>
      <c r="F14" s="4">
        <v>3364</v>
      </c>
      <c r="Q14" s="36" t="s">
        <v>84</v>
      </c>
      <c r="R14" s="4">
        <v>116</v>
      </c>
      <c r="S14" s="4">
        <v>107.01</v>
      </c>
      <c r="T14" s="62">
        <v>8.4010840108400986E-2</v>
      </c>
    </row>
    <row r="15" spans="1:25" x14ac:dyDescent="0.25">
      <c r="E15" s="36" t="s">
        <v>94</v>
      </c>
      <c r="F15" s="4">
        <v>2399.9</v>
      </c>
      <c r="H15" t="s">
        <v>2542</v>
      </c>
      <c r="Q15" s="36" t="s">
        <v>94</v>
      </c>
      <c r="R15" s="4">
        <v>10.3</v>
      </c>
      <c r="S15" s="4">
        <v>10.130000000000001</v>
      </c>
      <c r="T15" s="62">
        <v>1.6781836130306038E-2</v>
      </c>
    </row>
    <row r="16" spans="1:25" x14ac:dyDescent="0.25">
      <c r="E16" s="36" t="s">
        <v>124</v>
      </c>
      <c r="F16" s="4">
        <v>3009.1699999999996</v>
      </c>
      <c r="H16" s="61">
        <v>7</v>
      </c>
      <c r="Q16" s="36" t="s">
        <v>124</v>
      </c>
      <c r="R16" s="4">
        <v>97.07</v>
      </c>
      <c r="S16" s="4">
        <v>106.6</v>
      </c>
      <c r="T16" s="62">
        <v>-8.9399624765478469E-2</v>
      </c>
    </row>
    <row r="17" spans="5:20" x14ac:dyDescent="0.25">
      <c r="E17" s="36" t="s">
        <v>150</v>
      </c>
      <c r="F17" s="4">
        <v>2981.61</v>
      </c>
      <c r="Q17" s="36" t="s">
        <v>150</v>
      </c>
      <c r="R17" s="4">
        <v>110.43</v>
      </c>
      <c r="S17" s="4">
        <v>108.71</v>
      </c>
      <c r="T17" s="62">
        <v>1.5821911507681197E-2</v>
      </c>
    </row>
    <row r="18" spans="5:20" x14ac:dyDescent="0.25">
      <c r="E18" s="36" t="s">
        <v>151</v>
      </c>
      <c r="F18" s="4">
        <v>3000</v>
      </c>
      <c r="Q18" s="36" t="s">
        <v>151</v>
      </c>
      <c r="R18" s="4">
        <v>50</v>
      </c>
      <c r="S18" s="4">
        <v>53.83</v>
      </c>
      <c r="T18" s="62">
        <v>-7.1149916403492441E-2</v>
      </c>
    </row>
    <row r="19" spans="5:20" x14ac:dyDescent="0.25">
      <c r="E19" s="36" t="s">
        <v>165</v>
      </c>
      <c r="F19" s="4">
        <v>3735.58</v>
      </c>
      <c r="Q19" s="36" t="s">
        <v>165</v>
      </c>
      <c r="R19" s="4">
        <v>109.87</v>
      </c>
      <c r="S19" s="4">
        <v>112.52</v>
      </c>
      <c r="T19" s="62">
        <v>-2.3551368645574056E-2</v>
      </c>
    </row>
    <row r="20" spans="5:20" x14ac:dyDescent="0.25">
      <c r="E20" s="36" t="s">
        <v>166</v>
      </c>
      <c r="F20" s="4">
        <v>2278.3200000000002</v>
      </c>
      <c r="Q20" s="36" t="s">
        <v>166</v>
      </c>
      <c r="R20" s="4">
        <v>103.56</v>
      </c>
      <c r="S20" s="4">
        <v>105.35</v>
      </c>
      <c r="T20" s="62">
        <v>-1.6990982439487379E-2</v>
      </c>
    </row>
    <row r="21" spans="5:20" x14ac:dyDescent="0.25">
      <c r="E21" s="36" t="s">
        <v>2377</v>
      </c>
      <c r="F21" s="38">
        <v>55896.380000000005</v>
      </c>
      <c r="Q21" s="36" t="s">
        <v>2377</v>
      </c>
      <c r="R21" s="4">
        <v>1761.5900000000001</v>
      </c>
      <c r="S21" s="4">
        <v>1784.1299999999997</v>
      </c>
      <c r="T21" s="62">
        <v>-0.28246152391880752</v>
      </c>
    </row>
    <row r="23" spans="5:20" x14ac:dyDescent="0.25">
      <c r="E23" s="37" t="s">
        <v>2346</v>
      </c>
      <c r="F23" t="s">
        <v>1662</v>
      </c>
    </row>
    <row r="25" spans="5:20" x14ac:dyDescent="0.25">
      <c r="E25" t="s">
        <v>2542</v>
      </c>
    </row>
    <row r="26" spans="5:20" x14ac:dyDescent="0.25">
      <c r="E26" s="61">
        <v>17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EC78C7-C895-4D6D-A6AA-F4FA43D4C66C}">
  <sheetPr codeName="Planilha5"/>
  <dimension ref="A1:L40"/>
  <sheetViews>
    <sheetView workbookViewId="0">
      <selection activeCell="A5" sqref="A5:L5"/>
    </sheetView>
  </sheetViews>
  <sheetFormatPr defaultRowHeight="15" x14ac:dyDescent="0.25"/>
  <cols>
    <col min="1" max="1" width="18" bestFit="1" customWidth="1"/>
    <col min="2" max="2" width="20.7109375" bestFit="1" customWidth="1"/>
    <col min="3" max="3" width="4" customWidth="1"/>
    <col min="4" max="4" width="18" bestFit="1" customWidth="1"/>
    <col min="5" max="5" width="20.7109375" bestFit="1" customWidth="1"/>
    <col min="6" max="6" width="4" customWidth="1"/>
    <col min="7" max="7" width="22.28515625" bestFit="1" customWidth="1"/>
    <col min="8" max="8" width="10.5703125" bestFit="1" customWidth="1"/>
    <col min="10" max="10" width="8.140625" bestFit="1" customWidth="1"/>
    <col min="11" max="11" width="18" bestFit="1" customWidth="1"/>
    <col min="12" max="12" width="21.85546875" bestFit="1" customWidth="1"/>
    <col min="13" max="13" width="26.140625" bestFit="1" customWidth="1"/>
  </cols>
  <sheetData>
    <row r="1" spans="1:12" x14ac:dyDescent="0.25">
      <c r="A1" s="37" t="s">
        <v>2346</v>
      </c>
      <c r="B1" t="s">
        <v>1662</v>
      </c>
    </row>
    <row r="2" spans="1:12" x14ac:dyDescent="0.25">
      <c r="A2" s="37" t="s">
        <v>2379</v>
      </c>
      <c r="B2" t="s">
        <v>2554</v>
      </c>
      <c r="D2" s="37" t="s">
        <v>2346</v>
      </c>
      <c r="E2" t="s">
        <v>2554</v>
      </c>
      <c r="K2" s="37" t="s">
        <v>2346</v>
      </c>
      <c r="L2" t="s">
        <v>1662</v>
      </c>
    </row>
    <row r="3" spans="1:12" x14ac:dyDescent="0.25">
      <c r="A3" s="37" t="s">
        <v>2378</v>
      </c>
      <c r="B3" s="36">
        <v>2022</v>
      </c>
      <c r="C3" s="36"/>
      <c r="D3" s="37" t="s">
        <v>170</v>
      </c>
      <c r="E3" t="s">
        <v>2554</v>
      </c>
      <c r="G3" s="58" t="s">
        <v>2378</v>
      </c>
      <c r="H3" s="38" t="s">
        <v>2554</v>
      </c>
      <c r="K3" s="37" t="s">
        <v>170</v>
      </c>
      <c r="L3" t="s">
        <v>72</v>
      </c>
    </row>
    <row r="4" spans="1:12" x14ac:dyDescent="0.25">
      <c r="B4" s="49">
        <f>GETPIVOTDATA("Valor líquido",$A$5)</f>
        <v>5575.31</v>
      </c>
      <c r="G4" s="49">
        <f>GETPIVOTDATA("Valor líquido",$G$5)</f>
        <v>11032.079999999998</v>
      </c>
    </row>
    <row r="5" spans="1:12" x14ac:dyDescent="0.25">
      <c r="A5" s="37" t="s">
        <v>2376</v>
      </c>
      <c r="B5" t="s">
        <v>2523</v>
      </c>
      <c r="D5" s="37" t="s">
        <v>2376</v>
      </c>
      <c r="E5" t="s">
        <v>2523</v>
      </c>
      <c r="G5" s="38" t="s">
        <v>2523</v>
      </c>
      <c r="K5" s="37" t="s">
        <v>2376</v>
      </c>
      <c r="L5" t="s">
        <v>2534</v>
      </c>
    </row>
    <row r="6" spans="1:12" x14ac:dyDescent="0.25">
      <c r="A6" s="36" t="s">
        <v>166</v>
      </c>
      <c r="B6" s="38">
        <v>387.3</v>
      </c>
      <c r="C6" s="38"/>
      <c r="D6" s="36">
        <v>2020</v>
      </c>
      <c r="E6" s="38">
        <v>429</v>
      </c>
      <c r="G6" s="38">
        <v>11032.079999999998</v>
      </c>
      <c r="K6" s="36">
        <v>2021</v>
      </c>
      <c r="L6" s="59">
        <v>9.11</v>
      </c>
    </row>
    <row r="7" spans="1:12" x14ac:dyDescent="0.25">
      <c r="A7" s="36" t="s">
        <v>124</v>
      </c>
      <c r="B7" s="38">
        <v>230.7</v>
      </c>
      <c r="C7" s="38"/>
      <c r="D7" s="57" t="s">
        <v>2381</v>
      </c>
      <c r="E7" s="75">
        <v>1.6400000000000001</v>
      </c>
      <c r="K7" s="57" t="s">
        <v>2384</v>
      </c>
      <c r="L7" s="59">
        <v>1.1599999999999999</v>
      </c>
    </row>
    <row r="8" spans="1:12" x14ac:dyDescent="0.25">
      <c r="A8" s="36" t="s">
        <v>12</v>
      </c>
      <c r="B8" s="38">
        <v>444.34</v>
      </c>
      <c r="C8" s="38"/>
      <c r="D8" s="57" t="s">
        <v>2382</v>
      </c>
      <c r="E8" s="75">
        <v>2.56</v>
      </c>
      <c r="K8" s="57" t="s">
        <v>2385</v>
      </c>
      <c r="L8" s="59">
        <v>1.1499999999999999</v>
      </c>
    </row>
    <row r="9" spans="1:12" x14ac:dyDescent="0.25">
      <c r="A9" s="36" t="s">
        <v>20</v>
      </c>
      <c r="B9" s="38">
        <v>240.57</v>
      </c>
      <c r="C9" s="38"/>
      <c r="D9" s="57" t="s">
        <v>2383</v>
      </c>
      <c r="E9" s="75">
        <v>1.7399999999999998</v>
      </c>
      <c r="K9" s="57" t="s">
        <v>2386</v>
      </c>
      <c r="L9" s="59">
        <v>0.97</v>
      </c>
    </row>
    <row r="10" spans="1:12" x14ac:dyDescent="0.25">
      <c r="A10" s="36" t="s">
        <v>62</v>
      </c>
      <c r="B10" s="38">
        <v>339.25</v>
      </c>
      <c r="C10" s="38"/>
      <c r="D10" s="57" t="s">
        <v>2385</v>
      </c>
      <c r="E10" s="75">
        <v>1.58</v>
      </c>
      <c r="K10" s="57" t="s">
        <v>2387</v>
      </c>
      <c r="L10" s="59">
        <v>1.1499999999999999</v>
      </c>
    </row>
    <row r="11" spans="1:12" x14ac:dyDescent="0.25">
      <c r="A11" s="36" t="s">
        <v>64</v>
      </c>
      <c r="B11" s="38">
        <v>241.28999999999996</v>
      </c>
      <c r="C11" s="38"/>
      <c r="D11" s="57" t="s">
        <v>2386</v>
      </c>
      <c r="E11" s="75">
        <v>19.599999999999998</v>
      </c>
      <c r="K11" s="57" t="s">
        <v>2530</v>
      </c>
      <c r="L11" s="59">
        <v>1.1299999999999999</v>
      </c>
    </row>
    <row r="12" spans="1:12" x14ac:dyDescent="0.25">
      <c r="A12" s="36" t="s">
        <v>65</v>
      </c>
      <c r="B12" s="38">
        <v>235.24</v>
      </c>
      <c r="C12" s="38"/>
      <c r="D12" s="57" t="s">
        <v>2387</v>
      </c>
      <c r="E12" s="75">
        <v>83.65</v>
      </c>
      <c r="K12" s="57" t="s">
        <v>2531</v>
      </c>
      <c r="L12" s="59">
        <v>1.05</v>
      </c>
    </row>
    <row r="13" spans="1:12" x14ac:dyDescent="0.25">
      <c r="A13" s="36" t="s">
        <v>80</v>
      </c>
      <c r="B13" s="38">
        <v>197.63</v>
      </c>
      <c r="C13" s="38"/>
      <c r="D13" s="57" t="s">
        <v>2530</v>
      </c>
      <c r="E13" s="75">
        <v>28.72</v>
      </c>
      <c r="K13" s="57" t="s">
        <v>2532</v>
      </c>
      <c r="L13" s="59">
        <v>1.37</v>
      </c>
    </row>
    <row r="14" spans="1:12" x14ac:dyDescent="0.25">
      <c r="A14" s="36" t="s">
        <v>94</v>
      </c>
      <c r="B14" s="38">
        <v>389.49</v>
      </c>
      <c r="C14" s="38"/>
      <c r="D14" s="57" t="s">
        <v>2531</v>
      </c>
      <c r="E14" s="75">
        <v>13.1</v>
      </c>
      <c r="K14" s="57" t="s">
        <v>2533</v>
      </c>
      <c r="L14" s="59">
        <v>1.1299999999999999</v>
      </c>
    </row>
    <row r="15" spans="1:12" x14ac:dyDescent="0.25">
      <c r="A15" s="36" t="s">
        <v>150</v>
      </c>
      <c r="B15" s="38">
        <v>243.10000000000002</v>
      </c>
      <c r="C15" s="38"/>
      <c r="D15" s="57" t="s">
        <v>2532</v>
      </c>
      <c r="E15" s="75">
        <v>127.49999999999999</v>
      </c>
      <c r="K15" s="36">
        <v>2022</v>
      </c>
      <c r="L15" s="59">
        <v>11.409999999999998</v>
      </c>
    </row>
    <row r="16" spans="1:12" x14ac:dyDescent="0.25">
      <c r="A16" s="36" t="s">
        <v>151</v>
      </c>
      <c r="B16" s="38">
        <v>252.21999999999997</v>
      </c>
      <c r="C16" s="38"/>
      <c r="D16" s="57" t="s">
        <v>2533</v>
      </c>
      <c r="E16" s="75">
        <v>148.91</v>
      </c>
      <c r="K16" s="57" t="s">
        <v>2380</v>
      </c>
      <c r="L16" s="59">
        <v>1.43</v>
      </c>
    </row>
    <row r="17" spans="1:12" x14ac:dyDescent="0.25">
      <c r="A17" s="36" t="s">
        <v>165</v>
      </c>
      <c r="B17" s="38">
        <v>280.62</v>
      </c>
      <c r="C17" s="38"/>
      <c r="D17" s="36">
        <v>2021</v>
      </c>
      <c r="E17" s="38">
        <v>3495.4100000000003</v>
      </c>
      <c r="K17" s="57" t="s">
        <v>2381</v>
      </c>
      <c r="L17" s="59">
        <v>1.08</v>
      </c>
    </row>
    <row r="18" spans="1:12" x14ac:dyDescent="0.25">
      <c r="A18" s="36" t="s">
        <v>84</v>
      </c>
      <c r="B18" s="38">
        <v>256.51</v>
      </c>
      <c r="C18" s="38"/>
      <c r="D18" s="57" t="s">
        <v>2380</v>
      </c>
      <c r="E18" s="75">
        <v>148.02999999999997</v>
      </c>
      <c r="K18" s="57" t="s">
        <v>2382</v>
      </c>
      <c r="L18" s="59">
        <v>1.22</v>
      </c>
    </row>
    <row r="19" spans="1:12" x14ac:dyDescent="0.25">
      <c r="A19" s="36" t="s">
        <v>4</v>
      </c>
      <c r="B19" s="38">
        <v>519</v>
      </c>
      <c r="C19" s="38"/>
      <c r="D19" s="57" t="s">
        <v>2381</v>
      </c>
      <c r="E19" s="75">
        <v>122.47</v>
      </c>
      <c r="F19" s="38"/>
      <c r="G19" s="38"/>
      <c r="H19" s="38"/>
      <c r="K19" s="57" t="s">
        <v>2383</v>
      </c>
      <c r="L19" s="59">
        <v>1.18</v>
      </c>
    </row>
    <row r="20" spans="1:12" x14ac:dyDescent="0.25">
      <c r="A20" s="36" t="s">
        <v>22</v>
      </c>
      <c r="B20" s="38">
        <v>219.98000000000002</v>
      </c>
      <c r="C20" s="38"/>
      <c r="D20" s="57" t="s">
        <v>2382</v>
      </c>
      <c r="E20" s="75">
        <v>160.85</v>
      </c>
      <c r="F20" s="38"/>
      <c r="G20" s="38"/>
      <c r="H20" s="38"/>
      <c r="K20" s="57" t="s">
        <v>2384</v>
      </c>
      <c r="L20" s="59">
        <v>1.26</v>
      </c>
    </row>
    <row r="21" spans="1:12" x14ac:dyDescent="0.25">
      <c r="A21" s="36" t="s">
        <v>72</v>
      </c>
      <c r="B21" s="38">
        <v>712.18000000000006</v>
      </c>
      <c r="C21" s="38"/>
      <c r="D21" s="57" t="s">
        <v>2383</v>
      </c>
      <c r="E21" s="75">
        <v>75.760000000000005</v>
      </c>
      <c r="F21" s="38"/>
      <c r="G21" s="38"/>
      <c r="H21" s="38"/>
      <c r="K21" s="57" t="s">
        <v>2385</v>
      </c>
      <c r="L21" s="59">
        <v>1.35</v>
      </c>
    </row>
    <row r="22" spans="1:12" x14ac:dyDescent="0.25">
      <c r="A22" s="36" t="s">
        <v>57</v>
      </c>
      <c r="B22" s="38">
        <v>385.89</v>
      </c>
      <c r="C22" s="38"/>
      <c r="D22" s="57" t="s">
        <v>2384</v>
      </c>
      <c r="E22" s="75">
        <v>770.69</v>
      </c>
      <c r="F22" s="38"/>
      <c r="G22" s="38"/>
      <c r="H22" s="38"/>
      <c r="K22" s="57" t="s">
        <v>2386</v>
      </c>
      <c r="L22" s="59">
        <v>1.29</v>
      </c>
    </row>
    <row r="23" spans="1:12" x14ac:dyDescent="0.25">
      <c r="A23" s="36" t="s">
        <v>2377</v>
      </c>
      <c r="B23" s="38">
        <v>5575.31</v>
      </c>
      <c r="D23" s="57" t="s">
        <v>2385</v>
      </c>
      <c r="E23" s="75">
        <v>83.68</v>
      </c>
      <c r="K23" s="57" t="s">
        <v>2387</v>
      </c>
      <c r="L23" s="59">
        <v>1.33</v>
      </c>
    </row>
    <row r="24" spans="1:12" x14ac:dyDescent="0.25">
      <c r="D24" s="57" t="s">
        <v>2386</v>
      </c>
      <c r="E24" s="75">
        <v>39.9</v>
      </c>
      <c r="K24" s="57" t="s">
        <v>2530</v>
      </c>
      <c r="L24" s="59">
        <v>1.27</v>
      </c>
    </row>
    <row r="25" spans="1:12" x14ac:dyDescent="0.25">
      <c r="D25" s="57" t="s">
        <v>2387</v>
      </c>
      <c r="E25" s="75">
        <v>104.18</v>
      </c>
      <c r="K25" s="36" t="s">
        <v>2377</v>
      </c>
      <c r="L25" s="59">
        <v>20.52</v>
      </c>
    </row>
    <row r="26" spans="1:12" x14ac:dyDescent="0.25">
      <c r="D26" s="57" t="s">
        <v>2530</v>
      </c>
      <c r="E26" s="75">
        <v>177.29000000000002</v>
      </c>
    </row>
    <row r="27" spans="1:12" x14ac:dyDescent="0.25">
      <c r="D27" s="57" t="s">
        <v>2531</v>
      </c>
      <c r="E27" s="75">
        <v>198.29</v>
      </c>
    </row>
    <row r="28" spans="1:12" x14ac:dyDescent="0.25">
      <c r="D28" s="57" t="s">
        <v>2532</v>
      </c>
      <c r="E28" s="75">
        <v>539.66</v>
      </c>
    </row>
    <row r="29" spans="1:12" x14ac:dyDescent="0.25">
      <c r="D29" s="57" t="s">
        <v>2533</v>
      </c>
      <c r="E29" s="75">
        <v>1074.6100000000001</v>
      </c>
    </row>
    <row r="30" spans="1:12" x14ac:dyDescent="0.25">
      <c r="D30" s="36">
        <v>2022</v>
      </c>
      <c r="E30" s="38">
        <v>7107.67</v>
      </c>
    </row>
    <row r="31" spans="1:12" x14ac:dyDescent="0.25">
      <c r="D31" s="57" t="s">
        <v>2380</v>
      </c>
      <c r="E31" s="75">
        <v>706.4799999999999</v>
      </c>
    </row>
    <row r="32" spans="1:12" x14ac:dyDescent="0.25">
      <c r="D32" s="57" t="s">
        <v>2381</v>
      </c>
      <c r="E32" s="75">
        <v>255.37</v>
      </c>
    </row>
    <row r="33" spans="4:5" x14ac:dyDescent="0.25">
      <c r="D33" s="57" t="s">
        <v>2382</v>
      </c>
      <c r="E33" s="75">
        <v>215.32</v>
      </c>
    </row>
    <row r="34" spans="4:5" x14ac:dyDescent="0.25">
      <c r="D34" s="57" t="s">
        <v>2383</v>
      </c>
      <c r="E34" s="75">
        <v>347.01</v>
      </c>
    </row>
    <row r="35" spans="4:5" x14ac:dyDescent="0.25">
      <c r="D35" s="57" t="s">
        <v>2384</v>
      </c>
      <c r="E35" s="75">
        <v>647.17000000000007</v>
      </c>
    </row>
    <row r="36" spans="4:5" x14ac:dyDescent="0.25">
      <c r="D36" s="57" t="s">
        <v>2385</v>
      </c>
      <c r="E36" s="75">
        <v>783</v>
      </c>
    </row>
    <row r="37" spans="4:5" x14ac:dyDescent="0.25">
      <c r="D37" s="57" t="s">
        <v>2386</v>
      </c>
      <c r="E37" s="75">
        <v>1233.68</v>
      </c>
    </row>
    <row r="38" spans="4:5" x14ac:dyDescent="0.25">
      <c r="D38" s="57" t="s">
        <v>2387</v>
      </c>
      <c r="E38" s="75">
        <v>1230.96</v>
      </c>
    </row>
    <row r="39" spans="4:5" x14ac:dyDescent="0.25">
      <c r="D39" s="57" t="s">
        <v>2530</v>
      </c>
      <c r="E39" s="75">
        <v>1688.68</v>
      </c>
    </row>
    <row r="40" spans="4:5" x14ac:dyDescent="0.25">
      <c r="D40" s="36" t="s">
        <v>2377</v>
      </c>
      <c r="E40" s="38">
        <v>11032.080000000002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EFB371-A867-4A5B-9885-4392902FCEBB}">
  <sheetPr codeName="Planilha6"/>
  <dimension ref="A1:Z258"/>
  <sheetViews>
    <sheetView showGridLines="0" tabSelected="1" zoomScaleNormal="100" workbookViewId="0">
      <selection activeCell="S8" sqref="S8"/>
    </sheetView>
  </sheetViews>
  <sheetFormatPr defaultRowHeight="15" x14ac:dyDescent="0.25"/>
  <cols>
    <col min="1" max="1" width="1.28515625" customWidth="1"/>
    <col min="2" max="2" width="10.28515625" bestFit="1" customWidth="1"/>
    <col min="3" max="3" width="8.85546875" bestFit="1" customWidth="1"/>
    <col min="4" max="5" width="14.5703125" bestFit="1" customWidth="1"/>
    <col min="6" max="6" width="10.42578125" bestFit="1" customWidth="1"/>
    <col min="7" max="8" width="9" customWidth="1"/>
    <col min="9" max="9" width="7.5703125" bestFit="1" customWidth="1"/>
    <col min="10" max="10" width="10.5703125" bestFit="1" customWidth="1"/>
    <col min="11" max="11" width="13.5703125" bestFit="1" customWidth="1"/>
    <col min="12" max="12" width="10.42578125" bestFit="1" customWidth="1"/>
  </cols>
  <sheetData>
    <row r="1" spans="1:25" x14ac:dyDescent="0.25">
      <c r="A1" s="53"/>
      <c r="B1" s="53"/>
      <c r="C1" s="53"/>
      <c r="D1" s="53"/>
      <c r="E1" s="53"/>
      <c r="F1" s="53"/>
      <c r="G1" s="53"/>
      <c r="H1" s="53"/>
      <c r="I1" s="53"/>
      <c r="J1" s="53"/>
      <c r="K1" s="53"/>
      <c r="L1" s="53"/>
      <c r="M1" s="53"/>
      <c r="N1" s="53"/>
      <c r="O1" s="53"/>
      <c r="P1" s="53"/>
      <c r="Q1" s="53"/>
      <c r="R1" s="53"/>
      <c r="S1" s="53"/>
      <c r="T1" s="53"/>
      <c r="U1" s="53"/>
      <c r="V1" s="53"/>
      <c r="W1" s="53"/>
      <c r="X1" s="53"/>
      <c r="Y1" s="53"/>
    </row>
    <row r="2" spans="1:25" x14ac:dyDescent="0.25">
      <c r="A2" s="53"/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</row>
    <row r="3" spans="1:25" x14ac:dyDescent="0.25">
      <c r="A3" s="53"/>
      <c r="B3" s="53"/>
      <c r="C3" s="53"/>
      <c r="D3" s="53"/>
      <c r="E3" s="53"/>
      <c r="F3" s="53"/>
      <c r="G3" s="53"/>
      <c r="H3" s="53"/>
      <c r="I3" s="53"/>
      <c r="J3" s="53"/>
      <c r="K3" s="53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</row>
    <row r="4" spans="1:25" x14ac:dyDescent="0.25">
      <c r="A4" s="53"/>
      <c r="B4" s="53"/>
      <c r="C4" s="53"/>
      <c r="D4" s="53"/>
      <c r="E4" s="53"/>
      <c r="F4" s="53"/>
      <c r="G4" s="53"/>
      <c r="H4" s="53"/>
      <c r="I4" s="53"/>
      <c r="J4" s="53"/>
      <c r="K4" s="53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</row>
    <row r="5" spans="1:25" x14ac:dyDescent="0.25">
      <c r="A5" s="53"/>
      <c r="B5" s="53"/>
      <c r="C5" s="53"/>
      <c r="D5" s="53"/>
      <c r="E5" s="53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</row>
    <row r="6" spans="1:25" x14ac:dyDescent="0.25">
      <c r="A6" s="53"/>
      <c r="B6" s="53"/>
      <c r="C6" s="53"/>
      <c r="D6" s="53"/>
      <c r="E6" s="53"/>
      <c r="F6" s="53"/>
      <c r="G6" s="53"/>
      <c r="H6" s="53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</row>
    <row r="7" spans="1:25" x14ac:dyDescent="0.25">
      <c r="A7" s="53"/>
      <c r="B7" s="53"/>
      <c r="C7" s="53"/>
      <c r="D7" s="53"/>
      <c r="E7" s="53"/>
      <c r="F7" s="53"/>
      <c r="G7" s="53"/>
      <c r="H7" s="53"/>
      <c r="I7" s="53"/>
      <c r="J7" s="53"/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</row>
    <row r="8" spans="1:25" x14ac:dyDescent="0.25">
      <c r="A8" s="53"/>
      <c r="B8" s="53"/>
      <c r="C8" s="53"/>
      <c r="D8" s="53"/>
      <c r="E8" s="53"/>
      <c r="F8" s="53"/>
      <c r="G8" s="53"/>
      <c r="H8" s="53"/>
      <c r="I8" s="53"/>
      <c r="J8" s="53"/>
      <c r="K8" s="53"/>
      <c r="L8" s="53"/>
      <c r="M8" s="53"/>
      <c r="N8" s="53"/>
      <c r="O8" s="53"/>
      <c r="P8" s="53"/>
      <c r="Q8" s="53"/>
      <c r="R8" s="53"/>
      <c r="S8" s="53"/>
      <c r="T8" s="53"/>
      <c r="U8" s="53"/>
      <c r="V8" s="53"/>
      <c r="W8" s="53"/>
      <c r="X8" s="53"/>
      <c r="Y8" s="53"/>
    </row>
    <row r="9" spans="1:25" x14ac:dyDescent="0.25">
      <c r="A9" s="53"/>
      <c r="B9" s="53"/>
      <c r="C9" s="53"/>
      <c r="D9" s="53"/>
      <c r="E9" s="53"/>
      <c r="F9" s="53"/>
      <c r="G9" s="53"/>
      <c r="H9" s="53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</row>
    <row r="10" spans="1:25" x14ac:dyDescent="0.25">
      <c r="A10" s="53"/>
      <c r="B10" s="53"/>
      <c r="C10" s="53"/>
      <c r="D10" s="5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</row>
    <row r="11" spans="1:25" x14ac:dyDescent="0.25">
      <c r="A11" s="53"/>
      <c r="B11" s="53"/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53"/>
      <c r="U11" s="53"/>
      <c r="V11" s="53"/>
      <c r="W11" s="53"/>
      <c r="X11" s="53"/>
      <c r="Y11" s="53"/>
    </row>
    <row r="12" spans="1:25" x14ac:dyDescent="0.25">
      <c r="A12" s="53"/>
      <c r="B12" s="53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</row>
    <row r="13" spans="1:25" x14ac:dyDescent="0.25">
      <c r="A13" s="53"/>
      <c r="B13" s="53"/>
      <c r="C13" s="53"/>
      <c r="D13" s="53"/>
      <c r="E13" s="53"/>
      <c r="F13" s="53"/>
      <c r="G13" s="53"/>
      <c r="H13" s="53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</row>
    <row r="14" spans="1:25" x14ac:dyDescent="0.25">
      <c r="A14" s="53"/>
      <c r="B14" s="53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</row>
    <row r="15" spans="1:25" x14ac:dyDescent="0.25">
      <c r="A15" s="53"/>
      <c r="B15" s="53"/>
      <c r="C15" s="53"/>
      <c r="D15" s="53"/>
      <c r="E15" s="53"/>
      <c r="F15" s="53"/>
      <c r="G15" s="53"/>
      <c r="H15" s="53"/>
      <c r="I15" s="53"/>
      <c r="J15" s="53"/>
      <c r="K15" s="53"/>
      <c r="L15" s="53"/>
      <c r="M15" s="53"/>
      <c r="N15" s="53"/>
      <c r="O15" s="53"/>
      <c r="P15" s="53"/>
      <c r="Q15" s="53"/>
      <c r="R15" s="53"/>
      <c r="S15" s="53"/>
      <c r="T15" s="53"/>
      <c r="U15" s="53"/>
      <c r="V15" s="53"/>
      <c r="W15" s="53"/>
      <c r="X15" s="53"/>
      <c r="Y15" s="53"/>
    </row>
    <row r="16" spans="1:25" x14ac:dyDescent="0.25">
      <c r="A16" s="53"/>
      <c r="B16" s="53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</row>
    <row r="17" spans="1:26" x14ac:dyDescent="0.25">
      <c r="A17" s="53"/>
      <c r="B17" s="53"/>
      <c r="C17" s="53"/>
      <c r="D17" s="53"/>
      <c r="E17" s="53"/>
      <c r="F17" s="53"/>
      <c r="G17" s="53"/>
      <c r="H17" s="53"/>
      <c r="I17" s="53"/>
      <c r="J17" s="53"/>
      <c r="K17" s="53"/>
      <c r="L17" s="53"/>
      <c r="M17" s="53"/>
      <c r="N17" s="53"/>
      <c r="O17" s="53"/>
      <c r="P17" s="53"/>
      <c r="Q17" s="53"/>
      <c r="R17" s="53"/>
      <c r="S17" s="53"/>
      <c r="T17" s="53"/>
      <c r="U17" s="53"/>
      <c r="V17" s="53"/>
      <c r="W17" s="53"/>
      <c r="X17" s="53"/>
      <c r="Y17" s="53"/>
    </row>
    <row r="18" spans="1:26" x14ac:dyDescent="0.25">
      <c r="A18" s="53"/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</row>
    <row r="19" spans="1:26" x14ac:dyDescent="0.25">
      <c r="A19" s="53"/>
      <c r="B19" s="53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</row>
    <row r="20" spans="1:26" x14ac:dyDescent="0.25">
      <c r="A20" s="53"/>
      <c r="B20" s="53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</row>
    <row r="21" spans="1:26" x14ac:dyDescent="0.25">
      <c r="A21" s="53"/>
      <c r="B21" s="53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3"/>
      <c r="T21" s="53"/>
      <c r="U21" s="53"/>
      <c r="V21" s="53"/>
      <c r="W21" s="53"/>
      <c r="X21" s="53"/>
      <c r="Y21" s="53"/>
    </row>
    <row r="22" spans="1:26" x14ac:dyDescent="0.25">
      <c r="A22" s="53"/>
      <c r="B22" s="53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</row>
    <row r="23" spans="1:26" x14ac:dyDescent="0.25">
      <c r="A23" s="53"/>
      <c r="B23" s="53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3"/>
      <c r="T23" s="53"/>
      <c r="U23" s="53"/>
      <c r="V23" s="53"/>
      <c r="W23" s="53"/>
      <c r="X23" s="53"/>
      <c r="Y23" s="53"/>
    </row>
    <row r="24" spans="1:26" x14ac:dyDescent="0.25">
      <c r="A24" s="53"/>
      <c r="B24" s="53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</row>
    <row r="25" spans="1:26" x14ac:dyDescent="0.25">
      <c r="A25" s="53"/>
      <c r="B25" s="53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3"/>
      <c r="T25" s="53"/>
      <c r="U25" s="53"/>
      <c r="V25" s="53"/>
      <c r="W25" s="53"/>
      <c r="X25" s="53"/>
      <c r="Y25" s="53"/>
      <c r="Z25" s="48"/>
    </row>
    <row r="26" spans="1:26" x14ac:dyDescent="0.25">
      <c r="A26" s="53"/>
      <c r="B26" s="53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48"/>
    </row>
    <row r="27" spans="1:26" x14ac:dyDescent="0.25">
      <c r="A27" s="53"/>
      <c r="B27" s="53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3"/>
      <c r="T27" s="53"/>
      <c r="U27" s="53"/>
      <c r="V27" s="53"/>
      <c r="W27" s="53"/>
      <c r="X27" s="53"/>
      <c r="Y27" s="53"/>
      <c r="Z27" s="48"/>
    </row>
    <row r="28" spans="1:26" x14ac:dyDescent="0.25">
      <c r="A28" s="53"/>
      <c r="B28" s="53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48"/>
    </row>
    <row r="29" spans="1:26" x14ac:dyDescent="0.25">
      <c r="A29" s="53"/>
      <c r="B29" s="53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3"/>
      <c r="T29" s="53"/>
      <c r="U29" s="53"/>
      <c r="V29" s="53"/>
      <c r="W29" s="53"/>
      <c r="X29" s="53"/>
      <c r="Y29" s="53"/>
      <c r="Z29" s="48"/>
    </row>
    <row r="30" spans="1:26" x14ac:dyDescent="0.25">
      <c r="A30" s="53"/>
      <c r="B30" s="53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3"/>
      <c r="T30" s="53"/>
      <c r="U30" s="53"/>
      <c r="V30" s="53"/>
      <c r="W30" s="53"/>
      <c r="X30" s="53"/>
      <c r="Y30" s="53"/>
      <c r="Z30" s="48"/>
    </row>
    <row r="31" spans="1:26" x14ac:dyDescent="0.25">
      <c r="A31" s="53"/>
      <c r="B31" s="53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3"/>
      <c r="T31" s="53"/>
      <c r="U31" s="53"/>
      <c r="V31" s="53"/>
      <c r="W31" s="53"/>
      <c r="X31" s="53"/>
      <c r="Y31" s="53"/>
      <c r="Z31" s="48"/>
    </row>
    <row r="32" spans="1:26" x14ac:dyDescent="0.25">
      <c r="A32" s="53"/>
      <c r="B32" s="53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3"/>
      <c r="T32" s="53"/>
      <c r="U32" s="53"/>
      <c r="V32" s="53"/>
      <c r="W32" s="53"/>
      <c r="X32" s="53"/>
      <c r="Y32" s="53"/>
      <c r="Z32" s="48"/>
    </row>
    <row r="33" spans="1:26" x14ac:dyDescent="0.25">
      <c r="A33" s="53"/>
      <c r="B33" s="53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3"/>
      <c r="T33" s="53"/>
      <c r="U33" s="53"/>
      <c r="V33" s="53"/>
      <c r="W33" s="53"/>
      <c r="X33" s="53"/>
      <c r="Y33" s="53"/>
      <c r="Z33" s="48"/>
    </row>
    <row r="34" spans="1:26" x14ac:dyDescent="0.25">
      <c r="A34" s="53"/>
      <c r="B34" s="53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3"/>
      <c r="T34" s="53"/>
      <c r="U34" s="53"/>
      <c r="V34" s="53"/>
      <c r="W34" s="53"/>
      <c r="X34" s="53"/>
      <c r="Y34" s="53"/>
      <c r="Z34" s="48"/>
    </row>
    <row r="35" spans="1:26" x14ac:dyDescent="0.25">
      <c r="A35" s="53"/>
      <c r="B35" s="53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3"/>
      <c r="T35" s="53"/>
      <c r="U35" s="53"/>
      <c r="V35" s="53"/>
      <c r="W35" s="53"/>
      <c r="X35" s="53"/>
      <c r="Y35" s="53"/>
      <c r="Z35" s="48"/>
    </row>
    <row r="36" spans="1:26" x14ac:dyDescent="0.25">
      <c r="A36" s="53"/>
      <c r="B36" s="53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48"/>
    </row>
    <row r="37" spans="1:26" x14ac:dyDescent="0.25">
      <c r="A37" s="53"/>
      <c r="B37" s="53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3"/>
      <c r="T37" s="53"/>
      <c r="U37" s="53"/>
      <c r="V37" s="53"/>
      <c r="W37" s="53"/>
      <c r="X37" s="53"/>
      <c r="Y37" s="53"/>
      <c r="Z37" s="48"/>
    </row>
    <row r="38" spans="1:26" x14ac:dyDescent="0.25">
      <c r="A38" s="53"/>
      <c r="B38" s="53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48"/>
    </row>
    <row r="39" spans="1:26" x14ac:dyDescent="0.25">
      <c r="A39" s="53"/>
      <c r="B39" s="53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3"/>
      <c r="T39" s="53"/>
      <c r="U39" s="53"/>
      <c r="V39" s="53"/>
      <c r="W39" s="53"/>
      <c r="X39" s="53"/>
      <c r="Y39" s="53"/>
      <c r="Z39" s="48"/>
    </row>
    <row r="40" spans="1:26" x14ac:dyDescent="0.25">
      <c r="A40" s="53"/>
      <c r="B40" s="53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3"/>
      <c r="T40" s="53"/>
      <c r="U40" s="53"/>
      <c r="V40" s="53"/>
      <c r="W40" s="53"/>
      <c r="X40" s="53"/>
      <c r="Y40" s="53"/>
      <c r="Z40" s="48"/>
    </row>
    <row r="41" spans="1:26" x14ac:dyDescent="0.25">
      <c r="A41" s="53"/>
      <c r="B41" s="53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3"/>
      <c r="T41" s="53"/>
      <c r="U41" s="53"/>
      <c r="V41" s="53"/>
      <c r="W41" s="53"/>
      <c r="X41" s="53"/>
      <c r="Y41" s="53"/>
      <c r="Z41" s="48"/>
    </row>
    <row r="42" spans="1:26" x14ac:dyDescent="0.25">
      <c r="A42" s="53"/>
      <c r="B42" s="53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3"/>
      <c r="T42" s="53"/>
      <c r="U42" s="53"/>
      <c r="V42" s="53"/>
      <c r="W42" s="53"/>
      <c r="X42" s="53"/>
      <c r="Y42" s="53"/>
      <c r="Z42" s="48"/>
    </row>
    <row r="43" spans="1:26" x14ac:dyDescent="0.25">
      <c r="A43" s="53"/>
      <c r="B43" s="53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3"/>
      <c r="T43" s="53"/>
      <c r="U43" s="53"/>
      <c r="V43" s="53"/>
      <c r="W43" s="53"/>
      <c r="X43" s="53"/>
      <c r="Y43" s="53"/>
      <c r="Z43" s="48"/>
    </row>
    <row r="44" spans="1:26" x14ac:dyDescent="0.25">
      <c r="A44" s="53"/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3"/>
      <c r="U44" s="53"/>
      <c r="V44" s="53"/>
      <c r="W44" s="53"/>
      <c r="X44" s="53"/>
      <c r="Y44" s="53"/>
      <c r="Z44" s="48"/>
    </row>
    <row r="45" spans="1:26" x14ac:dyDescent="0.25">
      <c r="A45" s="53"/>
      <c r="B45" s="53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3"/>
      <c r="T45" s="53"/>
      <c r="U45" s="53"/>
      <c r="V45" s="53"/>
      <c r="W45" s="53"/>
      <c r="X45" s="53"/>
      <c r="Y45" s="53"/>
      <c r="Z45" s="48"/>
    </row>
    <row r="46" spans="1:26" x14ac:dyDescent="0.25">
      <c r="A46" s="53"/>
      <c r="B46" s="53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48"/>
    </row>
    <row r="47" spans="1:26" x14ac:dyDescent="0.25">
      <c r="A47" s="53"/>
      <c r="B47" s="53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3"/>
      <c r="T47" s="53"/>
      <c r="U47" s="53"/>
      <c r="V47" s="53"/>
      <c r="W47" s="53"/>
      <c r="X47" s="53"/>
      <c r="Y47" s="53"/>
      <c r="Z47" s="48"/>
    </row>
    <row r="48" spans="1:26" x14ac:dyDescent="0.25">
      <c r="A48" s="53"/>
      <c r="B48" s="53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48"/>
    </row>
    <row r="49" spans="1:26" x14ac:dyDescent="0.25">
      <c r="A49" s="53"/>
      <c r="B49" s="53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3"/>
      <c r="T49" s="53"/>
      <c r="U49" s="53"/>
      <c r="V49" s="53"/>
      <c r="W49" s="53"/>
      <c r="X49" s="53"/>
      <c r="Y49" s="53"/>
      <c r="Z49" s="48"/>
    </row>
    <row r="50" spans="1:26" x14ac:dyDescent="0.25">
      <c r="A50" s="53"/>
      <c r="B50" s="53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3"/>
      <c r="T50" s="53"/>
      <c r="U50" s="53"/>
      <c r="V50" s="53"/>
      <c r="W50" s="53"/>
      <c r="X50" s="53"/>
      <c r="Y50" s="53"/>
      <c r="Z50" s="48"/>
    </row>
    <row r="51" spans="1:26" x14ac:dyDescent="0.25">
      <c r="A51" s="53"/>
      <c r="B51" s="53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3"/>
      <c r="W51" s="53"/>
      <c r="X51" s="53"/>
      <c r="Y51" s="53"/>
      <c r="Z51" s="48"/>
    </row>
    <row r="52" spans="1:26" x14ac:dyDescent="0.25">
      <c r="A52" s="53"/>
      <c r="B52" s="53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3"/>
      <c r="T52" s="53"/>
      <c r="U52" s="53"/>
      <c r="V52" s="53"/>
      <c r="W52" s="53"/>
      <c r="X52" s="53"/>
      <c r="Y52" s="53"/>
      <c r="Z52" s="48"/>
    </row>
    <row r="53" spans="1:26" x14ac:dyDescent="0.25">
      <c r="A53" s="53"/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48"/>
    </row>
    <row r="54" spans="1:26" x14ac:dyDescent="0.25">
      <c r="A54" s="53"/>
      <c r="B54" s="53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3"/>
      <c r="T54" s="53"/>
      <c r="U54" s="53"/>
      <c r="V54" s="53"/>
      <c r="W54" s="53"/>
      <c r="X54" s="53"/>
      <c r="Y54" s="53"/>
      <c r="Z54" s="48"/>
    </row>
    <row r="55" spans="1:26" x14ac:dyDescent="0.25">
      <c r="A55" s="53"/>
      <c r="B55" s="53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3"/>
      <c r="T55" s="53"/>
      <c r="U55" s="53"/>
      <c r="V55" s="53"/>
      <c r="W55" s="53"/>
      <c r="X55" s="53"/>
      <c r="Y55" s="53"/>
      <c r="Z55" s="48"/>
    </row>
    <row r="56" spans="1:26" x14ac:dyDescent="0.25">
      <c r="A56" s="53"/>
      <c r="B56" s="53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3"/>
      <c r="T56" s="53"/>
      <c r="U56" s="53"/>
      <c r="V56" s="53"/>
      <c r="W56" s="53"/>
      <c r="X56" s="53"/>
      <c r="Y56" s="53"/>
      <c r="Z56" s="48"/>
    </row>
    <row r="57" spans="1:26" x14ac:dyDescent="0.25">
      <c r="A57" s="53"/>
      <c r="B57" s="53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3"/>
      <c r="T57" s="53"/>
      <c r="U57" s="53"/>
      <c r="V57" s="53"/>
      <c r="W57" s="53"/>
      <c r="X57" s="53"/>
      <c r="Y57" s="53"/>
      <c r="Z57" s="48"/>
    </row>
    <row r="58" spans="1:26" x14ac:dyDescent="0.25">
      <c r="A58" s="53"/>
      <c r="B58" s="53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3"/>
      <c r="T58" s="53"/>
      <c r="U58" s="53"/>
      <c r="V58" s="53"/>
      <c r="W58" s="53"/>
      <c r="X58" s="53"/>
      <c r="Y58" s="53"/>
      <c r="Z58" s="48"/>
    </row>
    <row r="59" spans="1:26" x14ac:dyDescent="0.25">
      <c r="A59" s="53"/>
      <c r="B59" s="53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3"/>
      <c r="T59" s="53"/>
      <c r="U59" s="53"/>
      <c r="V59" s="53"/>
      <c r="W59" s="53"/>
      <c r="X59" s="53"/>
      <c r="Y59" s="53"/>
      <c r="Z59" s="48"/>
    </row>
    <row r="60" spans="1:26" x14ac:dyDescent="0.25">
      <c r="A60" s="53"/>
      <c r="B60" s="53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3"/>
      <c r="T60" s="53"/>
      <c r="U60" s="53"/>
      <c r="V60" s="53"/>
      <c r="W60" s="53"/>
      <c r="X60" s="53"/>
      <c r="Y60" s="53"/>
      <c r="Z60" s="48"/>
    </row>
    <row r="61" spans="1:26" x14ac:dyDescent="0.25">
      <c r="A61" s="53"/>
      <c r="B61" s="53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3"/>
      <c r="T61" s="53"/>
      <c r="U61" s="53"/>
      <c r="V61" s="53"/>
      <c r="W61" s="53"/>
      <c r="X61" s="53"/>
      <c r="Y61" s="53"/>
      <c r="Z61" s="48"/>
    </row>
    <row r="62" spans="1:26" x14ac:dyDescent="0.25">
      <c r="A62" s="53"/>
      <c r="B62" s="53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3"/>
      <c r="T62" s="53"/>
      <c r="U62" s="53"/>
      <c r="V62" s="53"/>
      <c r="W62" s="53"/>
      <c r="X62" s="53"/>
      <c r="Y62" s="53"/>
      <c r="Z62" s="48"/>
    </row>
    <row r="63" spans="1:26" x14ac:dyDescent="0.25">
      <c r="A63" s="53"/>
      <c r="B63" s="53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48"/>
    </row>
    <row r="64" spans="1:26" x14ac:dyDescent="0.25">
      <c r="A64" s="53"/>
      <c r="B64" s="53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3"/>
      <c r="T64" s="53"/>
      <c r="U64" s="53"/>
      <c r="V64" s="53"/>
      <c r="W64" s="53"/>
      <c r="X64" s="53"/>
      <c r="Y64" s="53"/>
      <c r="Z64" s="48"/>
    </row>
    <row r="65" spans="1:26" x14ac:dyDescent="0.25">
      <c r="A65" s="53"/>
      <c r="B65" s="53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3"/>
      <c r="T65" s="53"/>
      <c r="U65" s="53"/>
      <c r="V65" s="53"/>
      <c r="W65" s="53"/>
      <c r="X65" s="53"/>
      <c r="Y65" s="53"/>
      <c r="Z65" s="48"/>
    </row>
    <row r="66" spans="1:26" x14ac:dyDescent="0.25">
      <c r="A66" s="53"/>
      <c r="B66" s="63"/>
      <c r="C66" s="63"/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53"/>
      <c r="S66" s="53"/>
      <c r="T66" s="53"/>
      <c r="U66" s="53"/>
      <c r="V66" s="53"/>
      <c r="W66" s="53"/>
      <c r="X66" s="53"/>
      <c r="Y66" s="53"/>
      <c r="Z66" s="48"/>
    </row>
    <row r="67" spans="1:26" s="63" customFormat="1" x14ac:dyDescent="0.25">
      <c r="A67" s="53"/>
      <c r="C67" s="77" t="s">
        <v>2549</v>
      </c>
      <c r="D67" s="78"/>
      <c r="E67" s="78"/>
      <c r="F67" s="79"/>
      <c r="I67" s="77" t="s">
        <v>2550</v>
      </c>
      <c r="J67" s="78"/>
      <c r="K67" s="78"/>
      <c r="L67" s="79"/>
      <c r="R67" s="53"/>
      <c r="S67" s="53"/>
      <c r="T67" s="53"/>
      <c r="U67" s="53"/>
      <c r="V67" s="53"/>
    </row>
    <row r="68" spans="1:26" x14ac:dyDescent="0.25">
      <c r="A68" s="53"/>
      <c r="B68" s="63"/>
      <c r="C68" s="69" t="s">
        <v>2546</v>
      </c>
      <c r="D68" s="69" t="s">
        <v>2547</v>
      </c>
      <c r="E68" s="69" t="s">
        <v>1442</v>
      </c>
      <c r="F68" s="69" t="s">
        <v>2548</v>
      </c>
      <c r="G68" s="68"/>
      <c r="H68" s="68"/>
      <c r="I68" s="69" t="s">
        <v>2546</v>
      </c>
      <c r="J68" s="69" t="s">
        <v>2547</v>
      </c>
      <c r="K68" s="69" t="s">
        <v>1442</v>
      </c>
      <c r="L68" s="69" t="s">
        <v>2548</v>
      </c>
      <c r="M68" s="68"/>
      <c r="N68" s="63"/>
      <c r="O68" s="63"/>
      <c r="P68" s="63"/>
      <c r="Q68" s="63"/>
      <c r="R68" s="53"/>
      <c r="S68" s="53"/>
      <c r="T68" s="53"/>
      <c r="U68" s="53"/>
      <c r="V68" s="53"/>
      <c r="W68" s="53"/>
      <c r="X68" s="53"/>
      <c r="Y68" s="53"/>
      <c r="Z68" s="48"/>
    </row>
    <row r="69" spans="1:26" s="64" customFormat="1" ht="15.75" x14ac:dyDescent="0.25">
      <c r="A69" s="66"/>
      <c r="B69" s="65"/>
      <c r="C69" s="70" t="str">
        <f>'TAB DIN CONSOLIDADO'!Q4</f>
        <v>ALZR11</v>
      </c>
      <c r="D69" s="71">
        <f>'TAB DIN CONSOLIDADO'!R4</f>
        <v>117.23</v>
      </c>
      <c r="E69" s="71">
        <f>'TAB DIN CONSOLIDADO'!S4</f>
        <v>110.96</v>
      </c>
      <c r="F69" s="72">
        <f>'TAB DIN CONSOLIDADO'!T4</f>
        <v>5.6506849315068663E-2</v>
      </c>
      <c r="G69" s="65"/>
      <c r="H69" s="65"/>
      <c r="I69" s="70" t="str">
        <f>'TAB DIN CONSOLIDADO'!V4</f>
        <v>B3SA3</v>
      </c>
      <c r="J69" s="71">
        <f>'TAB DIN CONSOLIDADO'!W4</f>
        <v>13.05</v>
      </c>
      <c r="K69" s="71">
        <f>'TAB DIN CONSOLIDADO'!X4</f>
        <v>12.78</v>
      </c>
      <c r="L69" s="73">
        <f>'TAB DIN CONSOLIDADO'!Y4</f>
        <v>2.1126760563380476E-2</v>
      </c>
      <c r="M69" s="65"/>
      <c r="N69" s="65"/>
      <c r="O69" s="65"/>
      <c r="P69" s="65"/>
      <c r="Q69" s="65"/>
      <c r="R69" s="53"/>
      <c r="S69" s="53"/>
      <c r="T69" s="53"/>
      <c r="U69" s="53"/>
      <c r="V69" s="53"/>
      <c r="W69" s="66"/>
      <c r="X69" s="66"/>
      <c r="Y69" s="66"/>
      <c r="Z69" s="67"/>
    </row>
    <row r="70" spans="1:26" s="64" customFormat="1" ht="15.75" x14ac:dyDescent="0.25">
      <c r="A70" s="66"/>
      <c r="B70" s="65"/>
      <c r="C70" s="70" t="str">
        <f>'TAB DIN CONSOLIDADO'!Q5</f>
        <v>BCFF11</v>
      </c>
      <c r="D70" s="71">
        <f>'TAB DIN CONSOLIDADO'!R5</f>
        <v>71.680000000000007</v>
      </c>
      <c r="E70" s="71">
        <f>'TAB DIN CONSOLIDADO'!S5</f>
        <v>77.819999999999993</v>
      </c>
      <c r="F70" s="72">
        <f>'TAB DIN CONSOLIDADO'!T5</f>
        <v>-7.8900025700333942E-2</v>
      </c>
      <c r="G70" s="65"/>
      <c r="H70" s="65"/>
      <c r="I70" s="70" t="str">
        <f>'TAB DIN CONSOLIDADO'!V5</f>
        <v>BBAS3</v>
      </c>
      <c r="J70" s="71">
        <f>'TAB DIN CONSOLIDADO'!W5</f>
        <v>38.520000000000003</v>
      </c>
      <c r="K70" s="71">
        <f>'TAB DIN CONSOLIDADO'!X5</f>
        <v>30.71</v>
      </c>
      <c r="L70" s="73">
        <f>'TAB DIN CONSOLIDADO'!Y5</f>
        <v>0.25431455551937487</v>
      </c>
      <c r="M70" s="65"/>
      <c r="N70" s="65"/>
      <c r="O70" s="65"/>
      <c r="P70" s="65"/>
      <c r="Q70" s="65"/>
      <c r="R70" s="53"/>
      <c r="S70" s="53"/>
      <c r="T70" s="53"/>
      <c r="U70" s="53"/>
      <c r="V70" s="53"/>
      <c r="W70" s="66"/>
      <c r="X70" s="66"/>
      <c r="Y70" s="66"/>
      <c r="Z70" s="67"/>
    </row>
    <row r="71" spans="1:26" s="64" customFormat="1" ht="15.75" x14ac:dyDescent="0.25">
      <c r="A71" s="66"/>
      <c r="B71" s="65"/>
      <c r="C71" s="70" t="str">
        <f>'TAB DIN CONSOLIDADO'!Q6</f>
        <v>BRCR11</v>
      </c>
      <c r="D71" s="71">
        <f>'TAB DIN CONSOLIDADO'!R6</f>
        <v>69.790000000000006</v>
      </c>
      <c r="E71" s="71">
        <f>'TAB DIN CONSOLIDADO'!S6</f>
        <v>74.37</v>
      </c>
      <c r="F71" s="72">
        <f>'TAB DIN CONSOLIDADO'!T6</f>
        <v>-6.1583972031733158E-2</v>
      </c>
      <c r="G71" s="65"/>
      <c r="H71" s="65"/>
      <c r="I71" s="70" t="str">
        <f>'TAB DIN CONSOLIDADO'!V6</f>
        <v>CMIG3</v>
      </c>
      <c r="J71" s="71">
        <f>'TAB DIN CONSOLIDADO'!W6</f>
        <v>16.2</v>
      </c>
      <c r="K71" s="71">
        <f>'TAB DIN CONSOLIDADO'!X6</f>
        <v>15.45</v>
      </c>
      <c r="L71" s="73">
        <f>'TAB DIN CONSOLIDADO'!Y6</f>
        <v>4.8543689320388328E-2</v>
      </c>
      <c r="M71" s="65"/>
      <c r="N71" s="65"/>
      <c r="O71" s="65"/>
      <c r="P71" s="65"/>
      <c r="Q71" s="65"/>
      <c r="R71" s="53"/>
      <c r="S71" s="53"/>
      <c r="T71" s="53"/>
      <c r="U71" s="53"/>
      <c r="V71" s="53"/>
      <c r="W71" s="66"/>
      <c r="X71" s="66"/>
      <c r="Y71" s="66"/>
      <c r="Z71" s="67"/>
    </row>
    <row r="72" spans="1:26" s="64" customFormat="1" ht="15.75" x14ac:dyDescent="0.25">
      <c r="A72" s="66"/>
      <c r="B72" s="65"/>
      <c r="C72" s="70" t="str">
        <f>'TAB DIN CONSOLIDADO'!Q7</f>
        <v>BTLG11</v>
      </c>
      <c r="D72" s="71">
        <f>'TAB DIN CONSOLIDADO'!R7</f>
        <v>103</v>
      </c>
      <c r="E72" s="71">
        <f>'TAB DIN CONSOLIDADO'!S7</f>
        <v>108.34</v>
      </c>
      <c r="F72" s="72">
        <f>'TAB DIN CONSOLIDADO'!T7</f>
        <v>-4.9289274506184255E-2</v>
      </c>
      <c r="G72" s="65"/>
      <c r="H72" s="65"/>
      <c r="I72" s="70" t="str">
        <f>'TAB DIN CONSOLIDADO'!V7</f>
        <v>SANB4</v>
      </c>
      <c r="J72" s="71">
        <f>'TAB DIN CONSOLIDADO'!W7</f>
        <v>16</v>
      </c>
      <c r="K72" s="71">
        <f>'TAB DIN CONSOLIDADO'!X7</f>
        <v>18.010000000000002</v>
      </c>
      <c r="L72" s="73">
        <f>'TAB DIN CONSOLIDADO'!Y7</f>
        <v>-0.11160466407551373</v>
      </c>
      <c r="M72" s="65"/>
      <c r="N72" s="65"/>
      <c r="O72" s="65"/>
      <c r="P72" s="65"/>
      <c r="Q72" s="65"/>
      <c r="R72" s="53"/>
      <c r="S72" s="53"/>
      <c r="T72" s="53"/>
      <c r="U72" s="53"/>
      <c r="V72" s="53"/>
      <c r="W72" s="66"/>
      <c r="X72" s="66"/>
      <c r="Y72" s="66"/>
      <c r="Z72" s="67"/>
    </row>
    <row r="73" spans="1:26" s="64" customFormat="1" ht="15.75" x14ac:dyDescent="0.25">
      <c r="A73" s="66"/>
      <c r="B73" s="65"/>
      <c r="C73" s="70" t="str">
        <f>'TAB DIN CONSOLIDADO'!Q8</f>
        <v>HCTR11</v>
      </c>
      <c r="D73" s="71">
        <f>'TAB DIN CONSOLIDADO'!R8</f>
        <v>101.88</v>
      </c>
      <c r="E73" s="71">
        <f>'TAB DIN CONSOLIDADO'!S8</f>
        <v>126.42</v>
      </c>
      <c r="F73" s="72">
        <f>'TAB DIN CONSOLIDADO'!T8</f>
        <v>-0.1941148552444234</v>
      </c>
      <c r="G73" s="65"/>
      <c r="H73" s="65"/>
      <c r="I73" s="70" t="str">
        <f>'TAB DIN CONSOLIDADO'!V8</f>
        <v>SAPR3</v>
      </c>
      <c r="J73" s="71">
        <f>'TAB DIN CONSOLIDADO'!W8</f>
        <v>3.32</v>
      </c>
      <c r="K73" s="71">
        <f>'TAB DIN CONSOLIDADO'!X8</f>
        <v>4.1100000000000003</v>
      </c>
      <c r="L73" s="73">
        <f>'TAB DIN CONSOLIDADO'!Y8</f>
        <v>-0.19221411192214122</v>
      </c>
      <c r="M73" s="65"/>
      <c r="N73" s="65"/>
      <c r="O73" s="65"/>
      <c r="P73" s="65"/>
      <c r="Q73" s="65"/>
      <c r="R73" s="53"/>
      <c r="S73" s="53"/>
      <c r="T73" s="53"/>
      <c r="U73" s="53"/>
      <c r="V73" s="53"/>
      <c r="W73" s="66"/>
      <c r="X73" s="66"/>
      <c r="Y73" s="66"/>
      <c r="Z73" s="67"/>
    </row>
    <row r="74" spans="1:26" s="64" customFormat="1" ht="15.75" x14ac:dyDescent="0.25">
      <c r="A74" s="66"/>
      <c r="B74" s="65"/>
      <c r="C74" s="70" t="str">
        <f>'TAB DIN CONSOLIDADO'!Q9</f>
        <v>HGLG11</v>
      </c>
      <c r="D74" s="71">
        <f>'TAB DIN CONSOLIDADO'!R9</f>
        <v>171.5</v>
      </c>
      <c r="E74" s="71">
        <f>'TAB DIN CONSOLIDADO'!S9</f>
        <v>166.39</v>
      </c>
      <c r="F74" s="72">
        <f>'TAB DIN CONSOLIDADO'!T9</f>
        <v>3.071098022717722E-2</v>
      </c>
      <c r="G74" s="65"/>
      <c r="H74" s="65"/>
      <c r="I74" s="70" t="str">
        <f>'TAB DIN CONSOLIDADO'!V9</f>
        <v>TAEE4</v>
      </c>
      <c r="J74" s="71">
        <f>'TAB DIN CONSOLIDADO'!W9</f>
        <v>13.04</v>
      </c>
      <c r="K74" s="71">
        <f>'TAB DIN CONSOLIDADO'!X9</f>
        <v>11.62</v>
      </c>
      <c r="L74" s="73">
        <f>'TAB DIN CONSOLIDADO'!Y9</f>
        <v>0.12220309810671259</v>
      </c>
      <c r="M74" s="65"/>
      <c r="N74" s="65"/>
      <c r="O74" s="65"/>
      <c r="P74" s="65"/>
      <c r="Q74" s="65"/>
      <c r="R74" s="53"/>
      <c r="S74" s="53"/>
      <c r="T74" s="53"/>
      <c r="U74" s="53"/>
      <c r="V74" s="53"/>
      <c r="W74" s="66"/>
      <c r="X74" s="66"/>
      <c r="Y74" s="66"/>
      <c r="Z74" s="67"/>
    </row>
    <row r="75" spans="1:26" s="64" customFormat="1" ht="15.75" x14ac:dyDescent="0.25">
      <c r="A75" s="66"/>
      <c r="B75" s="65"/>
      <c r="C75" s="70" t="str">
        <f>'TAB DIN CONSOLIDADO'!Q10</f>
        <v>HGRE11</v>
      </c>
      <c r="D75" s="71">
        <f>'TAB DIN CONSOLIDADO'!R10</f>
        <v>144.12</v>
      </c>
      <c r="E75" s="71">
        <f>'TAB DIN CONSOLIDADO'!S10</f>
        <v>139.21</v>
      </c>
      <c r="F75" s="72">
        <f>'TAB DIN CONSOLIDADO'!T10</f>
        <v>3.5270454708713483E-2</v>
      </c>
      <c r="G75" s="65"/>
      <c r="H75" s="65"/>
      <c r="I75" s="70" t="str">
        <f>'TAB DIN CONSOLIDADO'!V10</f>
        <v>TRPL4</v>
      </c>
      <c r="J75" s="71">
        <f>'TAB DIN CONSOLIDADO'!W10</f>
        <v>22.97</v>
      </c>
      <c r="K75" s="71">
        <f>'TAB DIN CONSOLIDADO'!X10</f>
        <v>22.62</v>
      </c>
      <c r="L75" s="73">
        <f>'TAB DIN CONSOLIDADO'!Y10</f>
        <v>1.5473032714411916E-2</v>
      </c>
      <c r="M75" s="65"/>
      <c r="N75" s="65"/>
      <c r="O75" s="65"/>
      <c r="P75" s="65"/>
      <c r="Q75" s="65"/>
      <c r="R75" s="53"/>
      <c r="S75" s="53"/>
      <c r="T75" s="53"/>
      <c r="U75" s="53"/>
      <c r="V75" s="53"/>
      <c r="W75" s="66"/>
      <c r="X75" s="66"/>
      <c r="Y75" s="66"/>
      <c r="Z75" s="67"/>
    </row>
    <row r="76" spans="1:26" s="64" customFormat="1" ht="15.75" x14ac:dyDescent="0.25">
      <c r="A76" s="66"/>
      <c r="B76" s="65"/>
      <c r="C76" s="70" t="str">
        <f>'TAB DIN CONSOLIDADO'!Q11</f>
        <v>HGRU11</v>
      </c>
      <c r="D76" s="71">
        <f>'TAB DIN CONSOLIDADO'!R11</f>
        <v>129.35</v>
      </c>
      <c r="E76" s="71">
        <f>'TAB DIN CONSOLIDADO'!S11</f>
        <v>118.54</v>
      </c>
      <c r="F76" s="72">
        <f>'TAB DIN CONSOLIDADO'!T11</f>
        <v>9.1192846296608732E-2</v>
      </c>
      <c r="G76" s="65"/>
      <c r="H76" s="65"/>
      <c r="I76" s="65"/>
      <c r="J76" s="65"/>
      <c r="K76" s="65"/>
      <c r="L76" s="65"/>
      <c r="M76" s="65"/>
      <c r="N76" s="65"/>
      <c r="O76" s="65"/>
      <c r="P76" s="65"/>
      <c r="Q76" s="65"/>
      <c r="R76" s="53"/>
      <c r="S76" s="53"/>
      <c r="T76" s="53"/>
      <c r="U76" s="53"/>
      <c r="V76" s="53"/>
      <c r="W76" s="66"/>
      <c r="X76" s="66"/>
      <c r="Y76" s="66"/>
      <c r="Z76" s="67"/>
    </row>
    <row r="77" spans="1:26" s="64" customFormat="1" ht="15.75" x14ac:dyDescent="0.25">
      <c r="A77" s="66"/>
      <c r="B77" s="65"/>
      <c r="C77" s="70" t="str">
        <f>'TAB DIN CONSOLIDADO'!Q12</f>
        <v>IRDM11</v>
      </c>
      <c r="D77" s="71">
        <f>'TAB DIN CONSOLIDADO'!R12</f>
        <v>103.01</v>
      </c>
      <c r="E77" s="71">
        <f>'TAB DIN CONSOLIDADO'!S12</f>
        <v>108.36</v>
      </c>
      <c r="F77" s="72">
        <f>'TAB DIN CONSOLIDADO'!T12</f>
        <v>-4.9372462163159825E-2</v>
      </c>
      <c r="G77" s="65"/>
      <c r="H77" s="65"/>
      <c r="I77" s="65"/>
      <c r="J77" s="65"/>
      <c r="K77" s="65"/>
      <c r="L77" s="65"/>
      <c r="M77" s="65"/>
      <c r="N77" s="65"/>
      <c r="O77" s="65"/>
      <c r="P77" s="65"/>
      <c r="Q77" s="65"/>
      <c r="R77" s="53"/>
      <c r="S77" s="53"/>
      <c r="T77" s="53"/>
      <c r="U77" s="53"/>
      <c r="V77" s="53"/>
      <c r="W77" s="66"/>
      <c r="X77" s="66"/>
      <c r="Y77" s="66"/>
      <c r="Z77" s="67"/>
    </row>
    <row r="78" spans="1:26" s="64" customFormat="1" ht="15.75" x14ac:dyDescent="0.25">
      <c r="A78" s="66"/>
      <c r="B78" s="65"/>
      <c r="C78" s="70" t="str">
        <f>'TAB DIN CONSOLIDADO'!Q13</f>
        <v>KNRI11</v>
      </c>
      <c r="D78" s="71">
        <f>'TAB DIN CONSOLIDADO'!R13</f>
        <v>152.80000000000001</v>
      </c>
      <c r="E78" s="71">
        <f>'TAB DIN CONSOLIDADO'!S13</f>
        <v>149.57</v>
      </c>
      <c r="F78" s="72">
        <f>'TAB DIN CONSOLIDADO'!T13</f>
        <v>2.1595239687103085E-2</v>
      </c>
      <c r="G78" s="65"/>
      <c r="H78" s="65"/>
      <c r="I78" s="65"/>
      <c r="J78" s="65"/>
      <c r="K78" s="65"/>
      <c r="L78" s="65"/>
      <c r="M78" s="65"/>
      <c r="N78" s="65"/>
      <c r="O78" s="65"/>
      <c r="P78" s="65"/>
      <c r="Q78" s="65"/>
      <c r="R78" s="53"/>
      <c r="S78" s="53"/>
      <c r="T78" s="53"/>
      <c r="U78" s="53"/>
      <c r="V78" s="53"/>
      <c r="W78" s="66"/>
      <c r="X78" s="66"/>
      <c r="Y78" s="66"/>
      <c r="Z78" s="67"/>
    </row>
    <row r="79" spans="1:26" s="64" customFormat="1" ht="15.75" x14ac:dyDescent="0.25">
      <c r="A79" s="66"/>
      <c r="B79" s="65"/>
      <c r="C79" s="70" t="str">
        <f>'TAB DIN CONSOLIDADO'!Q14</f>
        <v>LVBI11</v>
      </c>
      <c r="D79" s="71">
        <f>'TAB DIN CONSOLIDADO'!R14</f>
        <v>116</v>
      </c>
      <c r="E79" s="71">
        <f>'TAB DIN CONSOLIDADO'!S14</f>
        <v>107.01</v>
      </c>
      <c r="F79" s="72">
        <f>'TAB DIN CONSOLIDADO'!T14</f>
        <v>8.4010840108400986E-2</v>
      </c>
      <c r="G79" s="65"/>
      <c r="H79" s="65"/>
      <c r="I79" s="65"/>
      <c r="J79" s="65"/>
      <c r="K79" s="65"/>
      <c r="L79" s="65"/>
      <c r="M79" s="65"/>
      <c r="N79" s="65"/>
      <c r="O79" s="65"/>
      <c r="P79" s="65"/>
      <c r="Q79" s="65"/>
      <c r="R79" s="53"/>
      <c r="S79" s="53"/>
      <c r="T79" s="53"/>
      <c r="U79" s="53"/>
      <c r="V79" s="53"/>
      <c r="W79" s="66"/>
      <c r="X79" s="66"/>
      <c r="Y79" s="66"/>
      <c r="Z79" s="67"/>
    </row>
    <row r="80" spans="1:26" s="64" customFormat="1" ht="15.75" x14ac:dyDescent="0.25">
      <c r="A80" s="66"/>
      <c r="B80" s="65"/>
      <c r="C80" s="70" t="str">
        <f>'TAB DIN CONSOLIDADO'!Q15</f>
        <v>MXRF11</v>
      </c>
      <c r="D80" s="71">
        <f>'TAB DIN CONSOLIDADO'!R15</f>
        <v>10.3</v>
      </c>
      <c r="E80" s="71">
        <f>'TAB DIN CONSOLIDADO'!S15</f>
        <v>10.130000000000001</v>
      </c>
      <c r="F80" s="72">
        <f>'TAB DIN CONSOLIDADO'!T15</f>
        <v>1.6781836130306038E-2</v>
      </c>
      <c r="G80" s="65"/>
      <c r="H80" s="65"/>
      <c r="I80" s="65"/>
      <c r="J80" s="65"/>
      <c r="K80" s="65"/>
      <c r="L80" s="65"/>
      <c r="M80" s="65"/>
      <c r="N80" s="65"/>
      <c r="O80" s="65"/>
      <c r="P80" s="65"/>
      <c r="Q80" s="65"/>
      <c r="R80" s="53"/>
      <c r="S80" s="53"/>
      <c r="T80" s="53"/>
      <c r="U80" s="53"/>
      <c r="V80" s="53"/>
      <c r="W80" s="66"/>
      <c r="X80" s="66"/>
      <c r="Y80" s="66"/>
      <c r="Z80" s="67"/>
    </row>
    <row r="81" spans="1:26" s="64" customFormat="1" ht="15.75" x14ac:dyDescent="0.25">
      <c r="A81" s="66"/>
      <c r="B81" s="65"/>
      <c r="C81" s="70" t="str">
        <f>'TAB DIN CONSOLIDADO'!Q16</f>
        <v>RBVA11</v>
      </c>
      <c r="D81" s="71">
        <f>'TAB DIN CONSOLIDADO'!R16</f>
        <v>97.07</v>
      </c>
      <c r="E81" s="71">
        <f>'TAB DIN CONSOLIDADO'!S16</f>
        <v>106.6</v>
      </c>
      <c r="F81" s="72">
        <f>'TAB DIN CONSOLIDADO'!T16</f>
        <v>-8.9399624765478469E-2</v>
      </c>
      <c r="G81" s="65"/>
      <c r="H81" s="65"/>
      <c r="I81" s="65"/>
      <c r="J81" s="65"/>
      <c r="K81" s="65"/>
      <c r="L81" s="65"/>
      <c r="M81" s="65"/>
      <c r="N81" s="65"/>
      <c r="O81" s="65"/>
      <c r="P81" s="65"/>
      <c r="Q81" s="65"/>
      <c r="R81" s="53"/>
      <c r="S81" s="53"/>
      <c r="T81" s="53"/>
      <c r="U81" s="53"/>
      <c r="V81" s="53"/>
      <c r="W81" s="66"/>
      <c r="X81" s="66"/>
      <c r="Y81" s="66"/>
      <c r="Z81" s="67"/>
    </row>
    <row r="82" spans="1:26" s="64" customFormat="1" ht="15.75" x14ac:dyDescent="0.25">
      <c r="A82" s="66"/>
      <c r="B82" s="65"/>
      <c r="C82" s="70" t="str">
        <f>'TAB DIN CONSOLIDADO'!Q17</f>
        <v>VILG11</v>
      </c>
      <c r="D82" s="71">
        <f>'TAB DIN CONSOLIDADO'!R17</f>
        <v>110.43</v>
      </c>
      <c r="E82" s="71">
        <f>'TAB DIN CONSOLIDADO'!S17</f>
        <v>108.71</v>
      </c>
      <c r="F82" s="72">
        <f>'TAB DIN CONSOLIDADO'!T17</f>
        <v>1.5821911507681197E-2</v>
      </c>
      <c r="G82" s="65"/>
      <c r="H82" s="65"/>
      <c r="I82" s="65"/>
      <c r="J82" s="65"/>
      <c r="K82" s="65"/>
      <c r="L82" s="65"/>
      <c r="M82" s="65"/>
      <c r="N82" s="65"/>
      <c r="O82" s="65"/>
      <c r="P82" s="65"/>
      <c r="Q82" s="65"/>
      <c r="R82" s="53"/>
      <c r="S82" s="53"/>
      <c r="T82" s="53"/>
      <c r="U82" s="53"/>
      <c r="V82" s="53"/>
      <c r="W82" s="66"/>
      <c r="X82" s="66"/>
      <c r="Y82" s="66"/>
      <c r="Z82" s="67"/>
    </row>
    <row r="83" spans="1:26" s="64" customFormat="1" ht="15.75" x14ac:dyDescent="0.25">
      <c r="A83" s="66"/>
      <c r="B83" s="65"/>
      <c r="C83" s="70" t="str">
        <f>'TAB DIN CONSOLIDADO'!Q18</f>
        <v>VINO11</v>
      </c>
      <c r="D83" s="71">
        <f>'TAB DIN CONSOLIDADO'!R18</f>
        <v>50</v>
      </c>
      <c r="E83" s="71">
        <f>'TAB DIN CONSOLIDADO'!S18</f>
        <v>53.83</v>
      </c>
      <c r="F83" s="72">
        <f>'TAB DIN CONSOLIDADO'!T18</f>
        <v>-7.1149916403492441E-2</v>
      </c>
      <c r="G83" s="65"/>
      <c r="H83" s="65"/>
      <c r="I83" s="65"/>
      <c r="J83" s="65"/>
      <c r="K83" s="65"/>
      <c r="L83" s="65"/>
      <c r="M83" s="65"/>
      <c r="N83" s="65"/>
      <c r="O83" s="65"/>
      <c r="P83" s="65"/>
      <c r="Q83" s="65"/>
      <c r="R83" s="53"/>
      <c r="S83" s="53"/>
      <c r="T83" s="53"/>
      <c r="U83" s="53"/>
      <c r="V83" s="53"/>
      <c r="W83" s="66"/>
      <c r="X83" s="66"/>
      <c r="Y83" s="66"/>
      <c r="Z83" s="67"/>
    </row>
    <row r="84" spans="1:26" s="64" customFormat="1" ht="15.75" x14ac:dyDescent="0.25">
      <c r="A84" s="66"/>
      <c r="B84" s="65"/>
      <c r="C84" s="70" t="str">
        <f>'TAB DIN CONSOLIDADO'!Q19</f>
        <v>XPLG11</v>
      </c>
      <c r="D84" s="71">
        <f>'TAB DIN CONSOLIDADO'!R19</f>
        <v>109.87</v>
      </c>
      <c r="E84" s="71">
        <f>'TAB DIN CONSOLIDADO'!S19</f>
        <v>112.52</v>
      </c>
      <c r="F84" s="72">
        <f>'TAB DIN CONSOLIDADO'!T19</f>
        <v>-2.3551368645574056E-2</v>
      </c>
      <c r="G84" s="65"/>
      <c r="H84" s="65"/>
      <c r="I84" s="65"/>
      <c r="J84" s="65"/>
      <c r="K84" s="65"/>
      <c r="L84" s="65"/>
      <c r="M84" s="65"/>
      <c r="N84" s="65"/>
      <c r="O84" s="65"/>
      <c r="P84" s="65"/>
      <c r="Q84" s="65"/>
      <c r="R84" s="53"/>
      <c r="S84" s="53"/>
      <c r="T84" s="53"/>
      <c r="U84" s="53"/>
      <c r="V84" s="53"/>
      <c r="W84" s="66"/>
      <c r="X84" s="66"/>
      <c r="Y84" s="66"/>
      <c r="Z84" s="67"/>
    </row>
    <row r="85" spans="1:26" s="64" customFormat="1" ht="15.75" x14ac:dyDescent="0.25">
      <c r="A85" s="66"/>
      <c r="B85" s="65"/>
      <c r="C85" s="70" t="str">
        <f>'TAB DIN CONSOLIDADO'!Q20</f>
        <v>XPML11</v>
      </c>
      <c r="D85" s="71">
        <f>'TAB DIN CONSOLIDADO'!R20</f>
        <v>103.56</v>
      </c>
      <c r="E85" s="71">
        <f>'TAB DIN CONSOLIDADO'!S20</f>
        <v>105.35</v>
      </c>
      <c r="F85" s="72">
        <f>'TAB DIN CONSOLIDADO'!T20</f>
        <v>-1.6990982439487379E-2</v>
      </c>
      <c r="G85" s="65"/>
      <c r="H85" s="65"/>
      <c r="I85" s="65"/>
      <c r="J85" s="65"/>
      <c r="K85" s="65"/>
      <c r="L85" s="65"/>
      <c r="M85" s="65"/>
      <c r="N85" s="65"/>
      <c r="O85" s="65"/>
      <c r="P85" s="65"/>
      <c r="Q85" s="65"/>
      <c r="R85" s="53"/>
      <c r="S85" s="53"/>
      <c r="T85" s="53"/>
      <c r="U85" s="53"/>
      <c r="V85" s="53"/>
      <c r="W85" s="66"/>
      <c r="X85" s="66"/>
      <c r="Y85" s="66"/>
      <c r="Z85" s="67"/>
    </row>
    <row r="86" spans="1:26" x14ac:dyDescent="0.25">
      <c r="A86" s="53"/>
      <c r="B86" s="63"/>
      <c r="C86" s="63"/>
      <c r="D86" s="63"/>
      <c r="E86" s="63"/>
      <c r="F86" s="63"/>
      <c r="G86" s="63"/>
      <c r="H86" s="63"/>
      <c r="I86" s="63"/>
      <c r="J86" s="63"/>
      <c r="K86" s="63"/>
      <c r="L86" s="63"/>
      <c r="M86" s="63"/>
      <c r="N86" s="63"/>
      <c r="O86" s="63"/>
      <c r="P86" s="63"/>
      <c r="Q86" s="63"/>
      <c r="R86" s="53"/>
      <c r="S86" s="53"/>
      <c r="T86" s="53"/>
      <c r="U86" s="53"/>
      <c r="V86" s="53"/>
      <c r="W86" s="53"/>
      <c r="X86" s="53"/>
      <c r="Y86" s="53"/>
      <c r="Z86" s="48"/>
    </row>
    <row r="87" spans="1:26" x14ac:dyDescent="0.25">
      <c r="A87" s="53"/>
      <c r="B87" s="63"/>
      <c r="C87" s="63"/>
      <c r="D87" s="63"/>
      <c r="E87" s="63"/>
      <c r="F87" s="63"/>
      <c r="G87" s="63"/>
      <c r="H87" s="63"/>
      <c r="I87" s="63"/>
      <c r="J87" s="63"/>
      <c r="K87" s="63"/>
      <c r="L87" s="63"/>
      <c r="M87" s="63"/>
      <c r="N87" s="63"/>
      <c r="O87" s="63"/>
      <c r="P87" s="63"/>
      <c r="Q87" s="63"/>
      <c r="R87" s="53"/>
      <c r="S87" s="53"/>
      <c r="T87" s="53"/>
      <c r="U87" s="53"/>
      <c r="V87" s="53"/>
      <c r="W87" s="53"/>
      <c r="X87" s="53"/>
      <c r="Y87" s="53"/>
      <c r="Z87" s="48"/>
    </row>
    <row r="88" spans="1:26" x14ac:dyDescent="0.25">
      <c r="A88" s="53"/>
      <c r="B88" s="63"/>
      <c r="C88" s="63"/>
      <c r="D88" s="63"/>
      <c r="E88" s="63"/>
      <c r="F88" s="63"/>
      <c r="G88" s="63"/>
      <c r="H88" s="63"/>
      <c r="I88" s="63"/>
      <c r="J88" s="63"/>
      <c r="K88" s="63"/>
      <c r="L88" s="63"/>
      <c r="M88" s="63"/>
      <c r="N88" s="63"/>
      <c r="O88" s="63"/>
      <c r="P88" s="63"/>
      <c r="Q88" s="63"/>
      <c r="R88" s="53"/>
      <c r="S88" s="53"/>
      <c r="T88" s="53"/>
      <c r="U88" s="53"/>
      <c r="V88" s="53"/>
      <c r="W88" s="53"/>
      <c r="X88" s="53"/>
      <c r="Y88" s="53"/>
      <c r="Z88" s="48"/>
    </row>
    <row r="89" spans="1:26" x14ac:dyDescent="0.25">
      <c r="A89" s="53"/>
      <c r="B89" s="63"/>
      <c r="C89" s="63"/>
      <c r="D89" s="63"/>
      <c r="E89" s="63"/>
      <c r="F89" s="63"/>
      <c r="G89" s="63"/>
      <c r="H89" s="63"/>
      <c r="I89" s="63"/>
      <c r="J89" s="63"/>
      <c r="K89" s="63"/>
      <c r="L89" s="63"/>
      <c r="M89" s="63"/>
      <c r="N89" s="63"/>
      <c r="O89" s="63"/>
      <c r="P89" s="63"/>
      <c r="Q89" s="63"/>
      <c r="R89" s="53"/>
      <c r="S89" s="53"/>
      <c r="T89" s="53"/>
      <c r="U89" s="53"/>
      <c r="V89" s="53"/>
      <c r="W89" s="53"/>
      <c r="X89" s="53"/>
      <c r="Y89" s="53"/>
      <c r="Z89" s="48"/>
    </row>
    <row r="90" spans="1:26" x14ac:dyDescent="0.25">
      <c r="A90" s="53"/>
      <c r="B90" s="63"/>
      <c r="C90" s="63"/>
      <c r="D90" s="63"/>
      <c r="E90" s="63"/>
      <c r="F90" s="63"/>
      <c r="G90" s="63"/>
      <c r="H90" s="63"/>
      <c r="I90" s="63"/>
      <c r="J90" s="63"/>
      <c r="K90" s="63"/>
      <c r="L90" s="63"/>
      <c r="M90" s="63"/>
      <c r="N90" s="63"/>
      <c r="O90" s="63"/>
      <c r="P90" s="63"/>
      <c r="Q90" s="63"/>
      <c r="R90" s="53"/>
      <c r="S90" s="53"/>
      <c r="T90" s="53"/>
      <c r="U90" s="53"/>
      <c r="V90" s="53"/>
      <c r="W90" s="53"/>
      <c r="X90" s="53"/>
      <c r="Y90" s="53"/>
      <c r="Z90" s="48"/>
    </row>
    <row r="91" spans="1:26" x14ac:dyDescent="0.25">
      <c r="A91" s="53"/>
      <c r="B91" s="63"/>
      <c r="C91" s="63"/>
      <c r="D91" s="63"/>
      <c r="E91" s="63"/>
      <c r="F91" s="63"/>
      <c r="G91" s="63"/>
      <c r="H91" s="63"/>
      <c r="I91" s="63"/>
      <c r="J91" s="63"/>
      <c r="K91" s="63"/>
      <c r="L91" s="63"/>
      <c r="M91" s="63"/>
      <c r="N91" s="63"/>
      <c r="O91" s="63"/>
      <c r="P91" s="63"/>
      <c r="Q91" s="63"/>
      <c r="R91" s="53"/>
      <c r="S91" s="53"/>
      <c r="T91" s="53"/>
      <c r="U91" s="53"/>
      <c r="V91" s="53"/>
      <c r="W91" s="53"/>
      <c r="X91" s="53"/>
      <c r="Y91" s="53"/>
      <c r="Z91" s="48"/>
    </row>
    <row r="92" spans="1:26" x14ac:dyDescent="0.25">
      <c r="A92" s="53"/>
      <c r="B92" s="63"/>
      <c r="C92" s="63"/>
      <c r="D92" s="63"/>
      <c r="E92" s="63"/>
      <c r="F92" s="63"/>
      <c r="G92" s="63"/>
      <c r="H92" s="63"/>
      <c r="I92" s="63"/>
      <c r="J92" s="63"/>
      <c r="K92" s="63"/>
      <c r="L92" s="63"/>
      <c r="M92" s="63"/>
      <c r="N92" s="63"/>
      <c r="O92" s="63"/>
      <c r="P92" s="63"/>
      <c r="Q92" s="63"/>
      <c r="R92" s="53"/>
      <c r="S92" s="53"/>
      <c r="T92" s="53"/>
      <c r="U92" s="53"/>
      <c r="V92" s="53"/>
      <c r="W92" s="53"/>
      <c r="X92" s="53"/>
      <c r="Y92" s="53"/>
      <c r="Z92" s="48"/>
    </row>
    <row r="93" spans="1:26" x14ac:dyDescent="0.25">
      <c r="A93" s="53"/>
      <c r="B93" s="63"/>
      <c r="C93" s="63"/>
      <c r="D93" s="63"/>
      <c r="E93" s="63"/>
      <c r="F93" s="63"/>
      <c r="G93" s="63"/>
      <c r="H93" s="63"/>
      <c r="I93" s="63"/>
      <c r="J93" s="63"/>
      <c r="K93" s="63"/>
      <c r="L93" s="63"/>
      <c r="M93" s="63"/>
      <c r="N93" s="63"/>
      <c r="O93" s="63"/>
      <c r="P93" s="63"/>
      <c r="Q93" s="63"/>
      <c r="R93" s="53"/>
      <c r="S93" s="53"/>
      <c r="T93" s="53"/>
      <c r="U93" s="53"/>
      <c r="V93" s="53"/>
      <c r="W93" s="53"/>
      <c r="X93" s="53"/>
      <c r="Y93" s="53"/>
      <c r="Z93" s="48"/>
    </row>
    <row r="94" spans="1:26" x14ac:dyDescent="0.25">
      <c r="A94" s="53"/>
      <c r="B94" s="53"/>
      <c r="C94" s="53"/>
      <c r="D94" s="53"/>
      <c r="E94" s="53"/>
      <c r="F94" s="53"/>
      <c r="G94" s="53"/>
      <c r="H94" s="53"/>
      <c r="I94" s="53"/>
      <c r="J94" s="53"/>
      <c r="K94" s="53"/>
      <c r="L94" s="53"/>
      <c r="M94" s="53"/>
      <c r="N94" s="53"/>
      <c r="O94" s="53"/>
      <c r="P94" s="53"/>
      <c r="Q94" s="53"/>
      <c r="R94" s="53"/>
      <c r="S94" s="53"/>
      <c r="T94" s="53"/>
      <c r="U94" s="53"/>
      <c r="V94" s="53"/>
      <c r="W94" s="53"/>
      <c r="X94" s="53"/>
      <c r="Y94" s="53"/>
      <c r="Z94" s="48"/>
    </row>
    <row r="95" spans="1:26" x14ac:dyDescent="0.25">
      <c r="A95" s="53"/>
      <c r="B95" s="53"/>
      <c r="C95" s="53"/>
      <c r="D95" s="53"/>
      <c r="E95" s="53"/>
      <c r="F95" s="53"/>
      <c r="G95" s="53"/>
      <c r="H95" s="53"/>
      <c r="I95" s="53"/>
      <c r="J95" s="53"/>
      <c r="K95" s="53"/>
      <c r="L95" s="53"/>
      <c r="M95" s="53"/>
      <c r="N95" s="53"/>
      <c r="O95" s="53"/>
      <c r="P95" s="53"/>
      <c r="Q95" s="53"/>
      <c r="R95" s="53"/>
      <c r="S95" s="53"/>
      <c r="T95" s="53"/>
      <c r="U95" s="53"/>
      <c r="V95" s="53"/>
      <c r="W95" s="53"/>
      <c r="X95" s="53"/>
      <c r="Y95" s="53"/>
      <c r="Z95" s="48"/>
    </row>
    <row r="96" spans="1:26" x14ac:dyDescent="0.25">
      <c r="A96" s="53"/>
      <c r="B96" s="53"/>
      <c r="C96" s="53"/>
      <c r="D96" s="53"/>
      <c r="E96" s="53"/>
      <c r="F96" s="53"/>
      <c r="G96" s="53"/>
      <c r="H96" s="53"/>
      <c r="I96" s="53"/>
      <c r="J96" s="53"/>
      <c r="K96" s="53"/>
      <c r="L96" s="53"/>
      <c r="M96" s="53"/>
      <c r="N96" s="53"/>
      <c r="O96" s="53"/>
      <c r="P96" s="53"/>
      <c r="Q96" s="53"/>
      <c r="R96" s="53"/>
      <c r="S96" s="53"/>
      <c r="T96" s="53"/>
      <c r="U96" s="53"/>
      <c r="V96" s="53"/>
      <c r="W96" s="53"/>
      <c r="X96" s="53"/>
      <c r="Y96" s="53"/>
      <c r="Z96" s="48"/>
    </row>
    <row r="97" spans="1:26" x14ac:dyDescent="0.25">
      <c r="A97" s="53"/>
      <c r="B97" s="53"/>
      <c r="C97" s="53"/>
      <c r="D97" s="53"/>
      <c r="E97" s="53"/>
      <c r="F97" s="53"/>
      <c r="G97" s="53"/>
      <c r="H97" s="53"/>
      <c r="I97" s="53"/>
      <c r="J97" s="53"/>
      <c r="K97" s="53"/>
      <c r="L97" s="53"/>
      <c r="M97" s="53"/>
      <c r="N97" s="53"/>
      <c r="O97" s="53"/>
      <c r="P97" s="53"/>
      <c r="Q97" s="53"/>
      <c r="R97" s="53"/>
      <c r="S97" s="53"/>
      <c r="T97" s="53"/>
      <c r="U97" s="53"/>
      <c r="V97" s="53"/>
      <c r="W97" s="53"/>
      <c r="X97" s="53"/>
      <c r="Y97" s="53"/>
      <c r="Z97" s="48"/>
    </row>
    <row r="98" spans="1:26" x14ac:dyDescent="0.25">
      <c r="A98" s="53"/>
      <c r="B98" s="53"/>
      <c r="C98" s="53"/>
      <c r="D98" s="53"/>
      <c r="E98" s="53"/>
      <c r="F98" s="53"/>
      <c r="G98" s="53"/>
      <c r="H98" s="53"/>
      <c r="I98" s="53"/>
      <c r="J98" s="53"/>
      <c r="K98" s="53"/>
      <c r="L98" s="53"/>
      <c r="M98" s="53"/>
      <c r="N98" s="53"/>
      <c r="O98" s="53"/>
      <c r="P98" s="53"/>
      <c r="Q98" s="53"/>
      <c r="R98" s="53"/>
      <c r="S98" s="53"/>
      <c r="T98" s="53"/>
      <c r="U98" s="53"/>
      <c r="V98" s="53"/>
      <c r="W98" s="53"/>
      <c r="X98" s="53"/>
      <c r="Y98" s="53"/>
      <c r="Z98" s="48"/>
    </row>
    <row r="99" spans="1:26" x14ac:dyDescent="0.25">
      <c r="A99" s="53"/>
      <c r="B99" s="53"/>
      <c r="C99" s="53"/>
      <c r="D99" s="53"/>
      <c r="E99" s="53"/>
      <c r="F99" s="53"/>
      <c r="G99" s="53"/>
      <c r="H99" s="53"/>
      <c r="I99" s="53"/>
      <c r="J99" s="53"/>
      <c r="K99" s="53"/>
      <c r="L99" s="53"/>
      <c r="M99" s="53"/>
      <c r="N99" s="53"/>
      <c r="O99" s="53"/>
      <c r="P99" s="53"/>
      <c r="Q99" s="53"/>
      <c r="R99" s="53"/>
      <c r="S99" s="53"/>
      <c r="T99" s="53"/>
      <c r="U99" s="53"/>
      <c r="V99" s="53"/>
      <c r="W99" s="53"/>
      <c r="X99" s="53"/>
      <c r="Y99" s="53"/>
      <c r="Z99" s="48"/>
    </row>
    <row r="100" spans="1:26" x14ac:dyDescent="0.25">
      <c r="A100" s="53"/>
      <c r="B100" s="53"/>
      <c r="C100" s="53"/>
      <c r="D100" s="53"/>
      <c r="E100" s="53"/>
      <c r="F100" s="53"/>
      <c r="G100" s="53"/>
      <c r="H100" s="53"/>
      <c r="I100" s="53"/>
      <c r="J100" s="53"/>
      <c r="K100" s="53"/>
      <c r="L100" s="53"/>
      <c r="M100" s="53"/>
      <c r="N100" s="53"/>
      <c r="O100" s="53"/>
      <c r="P100" s="53"/>
      <c r="Q100" s="53"/>
      <c r="R100" s="53"/>
      <c r="S100" s="53"/>
      <c r="T100" s="53"/>
      <c r="U100" s="53"/>
      <c r="V100" s="53"/>
      <c r="W100" s="53"/>
      <c r="X100" s="53"/>
      <c r="Y100" s="53"/>
      <c r="Z100" s="48"/>
    </row>
    <row r="101" spans="1:26" x14ac:dyDescent="0.25">
      <c r="A101" s="53"/>
      <c r="B101" s="53"/>
      <c r="C101" s="53"/>
      <c r="D101" s="53"/>
      <c r="E101" s="53"/>
      <c r="F101" s="53"/>
      <c r="G101" s="53"/>
      <c r="H101" s="53"/>
      <c r="I101" s="53"/>
      <c r="J101" s="53"/>
      <c r="K101" s="53"/>
      <c r="L101" s="53"/>
      <c r="M101" s="53"/>
      <c r="N101" s="53"/>
      <c r="O101" s="53"/>
      <c r="P101" s="53"/>
      <c r="Q101" s="53"/>
      <c r="R101" s="53"/>
      <c r="S101" s="53"/>
      <c r="T101" s="53"/>
      <c r="U101" s="53"/>
      <c r="V101" s="53"/>
      <c r="W101" s="53"/>
      <c r="X101" s="53"/>
      <c r="Y101" s="53"/>
      <c r="Z101" s="48"/>
    </row>
    <row r="102" spans="1:26" x14ac:dyDescent="0.25">
      <c r="A102" s="53"/>
      <c r="B102" s="53"/>
      <c r="C102" s="53"/>
      <c r="D102" s="53"/>
      <c r="E102" s="53"/>
      <c r="F102" s="53"/>
      <c r="G102" s="53"/>
      <c r="H102" s="53"/>
      <c r="I102" s="53"/>
      <c r="J102" s="53"/>
      <c r="K102" s="53"/>
      <c r="L102" s="53"/>
      <c r="M102" s="53"/>
      <c r="N102" s="53"/>
      <c r="O102" s="53"/>
      <c r="P102" s="53"/>
      <c r="Q102" s="53"/>
      <c r="R102" s="53"/>
      <c r="S102" s="53"/>
      <c r="T102" s="53"/>
      <c r="U102" s="53"/>
      <c r="V102" s="53"/>
      <c r="W102" s="53"/>
      <c r="X102" s="53"/>
      <c r="Y102" s="53"/>
      <c r="Z102" s="48"/>
    </row>
    <row r="103" spans="1:26" x14ac:dyDescent="0.25">
      <c r="A103" s="53"/>
      <c r="B103" s="53"/>
      <c r="C103" s="53"/>
      <c r="D103" s="53"/>
      <c r="E103" s="53"/>
      <c r="F103" s="53"/>
      <c r="G103" s="53"/>
      <c r="H103" s="53"/>
      <c r="I103" s="53"/>
      <c r="J103" s="53"/>
      <c r="K103" s="53"/>
      <c r="L103" s="53"/>
      <c r="M103" s="53"/>
      <c r="N103" s="53"/>
      <c r="O103" s="53"/>
      <c r="P103" s="53"/>
      <c r="Q103" s="53"/>
      <c r="R103" s="53"/>
      <c r="S103" s="53"/>
      <c r="T103" s="53"/>
      <c r="U103" s="53"/>
      <c r="V103" s="53"/>
      <c r="W103" s="53"/>
      <c r="X103" s="53"/>
      <c r="Y103" s="53"/>
      <c r="Z103" s="48"/>
    </row>
    <row r="104" spans="1:26" x14ac:dyDescent="0.25">
      <c r="A104" s="53"/>
      <c r="B104" s="53"/>
      <c r="C104" s="53"/>
      <c r="D104" s="53"/>
      <c r="E104" s="53"/>
      <c r="F104" s="53"/>
      <c r="G104" s="53"/>
      <c r="H104" s="53"/>
      <c r="I104" s="53"/>
      <c r="J104" s="53"/>
      <c r="K104" s="53"/>
      <c r="L104" s="53"/>
      <c r="M104" s="53"/>
      <c r="N104" s="53"/>
      <c r="O104" s="53"/>
      <c r="P104" s="53"/>
      <c r="Q104" s="53"/>
      <c r="R104" s="53"/>
      <c r="S104" s="53"/>
      <c r="T104" s="53"/>
      <c r="U104" s="53"/>
      <c r="V104" s="53"/>
      <c r="W104" s="53"/>
      <c r="X104" s="53"/>
      <c r="Y104" s="53"/>
      <c r="Z104" s="48"/>
    </row>
    <row r="105" spans="1:26" x14ac:dyDescent="0.25">
      <c r="A105" s="53"/>
      <c r="B105" s="53"/>
      <c r="C105" s="53"/>
      <c r="D105" s="53"/>
      <c r="E105" s="53"/>
      <c r="F105" s="53"/>
      <c r="G105" s="53"/>
      <c r="H105" s="53"/>
      <c r="I105" s="53"/>
      <c r="J105" s="53"/>
      <c r="K105" s="53"/>
      <c r="L105" s="53"/>
      <c r="M105" s="53"/>
      <c r="N105" s="53"/>
      <c r="O105" s="53"/>
      <c r="P105" s="53"/>
      <c r="Q105" s="53"/>
      <c r="R105" s="53"/>
      <c r="S105" s="53"/>
      <c r="T105" s="53"/>
      <c r="U105" s="53"/>
      <c r="V105" s="53"/>
      <c r="W105" s="53"/>
      <c r="X105" s="53"/>
      <c r="Y105" s="53"/>
      <c r="Z105" s="48"/>
    </row>
    <row r="106" spans="1:26" x14ac:dyDescent="0.25">
      <c r="A106" s="53"/>
      <c r="B106" s="53"/>
      <c r="C106" s="53"/>
      <c r="D106" s="53"/>
      <c r="E106" s="53"/>
      <c r="F106" s="53"/>
      <c r="G106" s="53"/>
      <c r="H106" s="53"/>
      <c r="I106" s="53"/>
      <c r="J106" s="53"/>
      <c r="K106" s="53"/>
      <c r="L106" s="53"/>
      <c r="M106" s="53"/>
      <c r="N106" s="53"/>
      <c r="O106" s="53"/>
      <c r="P106" s="53"/>
      <c r="Q106" s="53"/>
      <c r="R106" s="53"/>
      <c r="S106" s="53"/>
      <c r="T106" s="53"/>
      <c r="U106" s="53"/>
      <c r="V106" s="53"/>
      <c r="W106" s="53"/>
      <c r="X106" s="53"/>
      <c r="Y106" s="53"/>
      <c r="Z106" s="48"/>
    </row>
    <row r="107" spans="1:26" x14ac:dyDescent="0.25">
      <c r="A107" s="53"/>
      <c r="B107" s="53"/>
      <c r="C107" s="53"/>
      <c r="D107" s="53"/>
      <c r="E107" s="53"/>
      <c r="F107" s="53"/>
      <c r="G107" s="53"/>
      <c r="H107" s="53"/>
      <c r="I107" s="53"/>
      <c r="J107" s="53"/>
      <c r="K107" s="53"/>
      <c r="L107" s="53"/>
      <c r="M107" s="53"/>
      <c r="N107" s="53"/>
      <c r="O107" s="53"/>
      <c r="P107" s="53"/>
      <c r="Q107" s="53"/>
      <c r="R107" s="53"/>
      <c r="S107" s="53"/>
      <c r="T107" s="53"/>
      <c r="U107" s="53"/>
      <c r="V107" s="53"/>
      <c r="W107" s="53"/>
      <c r="X107" s="53"/>
      <c r="Y107" s="53"/>
      <c r="Z107" s="48"/>
    </row>
    <row r="108" spans="1:26" x14ac:dyDescent="0.25">
      <c r="A108" s="53"/>
      <c r="B108" s="53"/>
      <c r="C108" s="53"/>
      <c r="D108" s="53"/>
      <c r="E108" s="53"/>
      <c r="F108" s="53"/>
      <c r="G108" s="53"/>
      <c r="H108" s="53"/>
      <c r="I108" s="53"/>
      <c r="J108" s="53"/>
      <c r="K108" s="53"/>
      <c r="L108" s="53"/>
      <c r="M108" s="53"/>
      <c r="N108" s="53"/>
      <c r="O108" s="53"/>
      <c r="P108" s="53"/>
      <c r="Q108" s="53"/>
      <c r="R108" s="53"/>
      <c r="S108" s="53"/>
      <c r="T108" s="53"/>
      <c r="U108" s="53"/>
      <c r="V108" s="53"/>
      <c r="W108" s="53"/>
      <c r="X108" s="53"/>
      <c r="Y108" s="53"/>
      <c r="Z108" s="48"/>
    </row>
    <row r="109" spans="1:26" x14ac:dyDescent="0.25">
      <c r="A109" s="53"/>
      <c r="B109" s="53"/>
      <c r="C109" s="53"/>
      <c r="D109" s="53"/>
      <c r="E109" s="53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3"/>
      <c r="R109" s="53"/>
      <c r="S109" s="53"/>
      <c r="T109" s="53"/>
      <c r="U109" s="53"/>
      <c r="V109" s="53"/>
      <c r="W109" s="53"/>
      <c r="X109" s="53"/>
      <c r="Y109" s="53"/>
      <c r="Z109" s="48"/>
    </row>
    <row r="110" spans="1:26" x14ac:dyDescent="0.25">
      <c r="A110" s="53"/>
      <c r="B110" s="53"/>
      <c r="C110" s="53"/>
      <c r="D110" s="53"/>
      <c r="E110" s="53"/>
      <c r="F110" s="53"/>
      <c r="G110" s="53"/>
      <c r="H110" s="53"/>
      <c r="I110" s="53"/>
      <c r="J110" s="53"/>
      <c r="K110" s="53"/>
      <c r="L110" s="53"/>
      <c r="M110" s="53"/>
      <c r="N110" s="53"/>
      <c r="O110" s="53"/>
      <c r="P110" s="53"/>
      <c r="Q110" s="53"/>
      <c r="R110" s="53"/>
      <c r="S110" s="53"/>
      <c r="T110" s="53"/>
      <c r="U110" s="53"/>
      <c r="V110" s="53">
        <v>3000</v>
      </c>
      <c r="W110" s="53"/>
      <c r="X110" s="53"/>
      <c r="Y110" s="53"/>
      <c r="Z110" s="48"/>
    </row>
    <row r="111" spans="1:26" x14ac:dyDescent="0.25">
      <c r="A111" s="53"/>
      <c r="B111" s="53"/>
      <c r="C111" s="53"/>
      <c r="D111" s="53"/>
      <c r="E111" s="53"/>
      <c r="F111" s="53"/>
      <c r="G111" s="53"/>
      <c r="H111" s="53"/>
      <c r="I111" s="53"/>
      <c r="J111" s="53"/>
      <c r="K111" s="53"/>
      <c r="L111" s="53"/>
      <c r="M111" s="53"/>
      <c r="N111" s="53"/>
      <c r="O111" s="53"/>
      <c r="P111" s="53"/>
      <c r="Q111" s="53"/>
      <c r="R111" s="53"/>
      <c r="S111" s="53"/>
      <c r="T111" s="53"/>
      <c r="U111" s="53"/>
      <c r="V111" s="53">
        <v>1100</v>
      </c>
      <c r="W111" s="53"/>
      <c r="X111" s="53"/>
      <c r="Y111" s="53"/>
      <c r="Z111" s="48"/>
    </row>
    <row r="112" spans="1:26" x14ac:dyDescent="0.25">
      <c r="A112" s="53"/>
      <c r="B112" s="53"/>
      <c r="C112" s="53"/>
      <c r="D112" s="53"/>
      <c r="E112" s="53"/>
      <c r="F112" s="53"/>
      <c r="G112" s="53"/>
      <c r="H112" s="53"/>
      <c r="I112" s="53"/>
      <c r="J112" s="53"/>
      <c r="K112" s="53"/>
      <c r="L112" s="53"/>
      <c r="M112" s="53"/>
      <c r="N112" s="53"/>
      <c r="O112" s="53"/>
      <c r="P112" s="53"/>
      <c r="Q112" s="53"/>
      <c r="R112" s="53"/>
      <c r="S112" s="53"/>
      <c r="T112" s="53"/>
      <c r="U112" s="53"/>
      <c r="V112" s="53">
        <f>V110-V111</f>
        <v>1900</v>
      </c>
      <c r="W112" s="53"/>
      <c r="X112" s="53"/>
      <c r="Y112" s="53"/>
      <c r="Z112" s="48"/>
    </row>
    <row r="113" spans="1:26" x14ac:dyDescent="0.25">
      <c r="A113" s="53"/>
      <c r="B113" s="53"/>
      <c r="C113" s="53"/>
      <c r="D113" s="53"/>
      <c r="E113" s="53"/>
      <c r="F113" s="53"/>
      <c r="G113" s="53"/>
      <c r="H113" s="53"/>
      <c r="I113" s="53"/>
      <c r="J113" s="53"/>
      <c r="K113" s="53"/>
      <c r="L113" s="53"/>
      <c r="M113" s="53"/>
      <c r="N113" s="53"/>
      <c r="O113" s="53"/>
      <c r="P113" s="53"/>
      <c r="Q113" s="53"/>
      <c r="R113" s="53"/>
      <c r="S113" s="53"/>
      <c r="T113" s="53"/>
      <c r="U113" s="53"/>
      <c r="V113" s="53"/>
      <c r="W113" s="53"/>
      <c r="X113" s="53"/>
      <c r="Y113" s="53"/>
      <c r="Z113" s="48"/>
    </row>
    <row r="114" spans="1:26" x14ac:dyDescent="0.25">
      <c r="A114" s="53"/>
      <c r="B114" s="53"/>
      <c r="C114" s="53"/>
      <c r="D114" s="53"/>
      <c r="E114" s="53"/>
      <c r="F114" s="53"/>
      <c r="G114" s="53"/>
      <c r="H114" s="53"/>
      <c r="I114" s="53"/>
      <c r="J114" s="53"/>
      <c r="K114" s="53"/>
      <c r="L114" s="53"/>
      <c r="M114" s="53"/>
      <c r="N114" s="53"/>
      <c r="O114" s="53"/>
      <c r="P114" s="53"/>
      <c r="Q114" s="53"/>
      <c r="R114" s="53"/>
      <c r="S114" s="53"/>
      <c r="T114" s="53"/>
      <c r="U114" s="53"/>
      <c r="V114" s="53"/>
      <c r="W114" s="53"/>
      <c r="X114" s="53"/>
      <c r="Y114" s="53"/>
      <c r="Z114" s="48"/>
    </row>
    <row r="115" spans="1:26" x14ac:dyDescent="0.25">
      <c r="A115" s="53"/>
      <c r="B115" s="53"/>
      <c r="C115" s="53"/>
      <c r="D115" s="53"/>
      <c r="E115" s="53"/>
      <c r="F115" s="53"/>
      <c r="G115" s="53"/>
      <c r="H115" s="53"/>
      <c r="I115" s="53"/>
      <c r="J115" s="53"/>
      <c r="K115" s="53"/>
      <c r="L115" s="53"/>
      <c r="M115" s="53"/>
      <c r="N115" s="53"/>
      <c r="O115" s="53"/>
      <c r="P115" s="53"/>
      <c r="Q115" s="53"/>
      <c r="R115" s="53"/>
      <c r="S115" s="53"/>
      <c r="T115" s="53"/>
      <c r="U115" s="53"/>
      <c r="V115" s="53"/>
      <c r="W115" s="53"/>
      <c r="X115" s="53"/>
      <c r="Y115" s="53"/>
      <c r="Z115" s="48"/>
    </row>
    <row r="116" spans="1:26" x14ac:dyDescent="0.25">
      <c r="A116" s="53"/>
      <c r="B116" s="53"/>
      <c r="C116" s="53"/>
      <c r="D116" s="53"/>
      <c r="E116" s="53"/>
      <c r="F116" s="53"/>
      <c r="G116" s="53"/>
      <c r="H116" s="53"/>
      <c r="I116" s="53"/>
      <c r="J116" s="53"/>
      <c r="K116" s="53"/>
      <c r="L116" s="53"/>
      <c r="M116" s="53"/>
      <c r="N116" s="53"/>
      <c r="O116" s="53"/>
      <c r="P116" s="53"/>
      <c r="Q116" s="53"/>
      <c r="R116" s="53"/>
      <c r="S116" s="53"/>
      <c r="T116" s="53"/>
      <c r="U116" s="53"/>
      <c r="V116" s="53"/>
      <c r="W116" s="53"/>
      <c r="X116" s="53"/>
      <c r="Y116" s="53"/>
      <c r="Z116" s="48"/>
    </row>
    <row r="117" spans="1:26" x14ac:dyDescent="0.25">
      <c r="A117" s="53"/>
      <c r="B117" s="53"/>
      <c r="C117" s="53"/>
      <c r="D117" s="53"/>
      <c r="E117" s="53"/>
      <c r="F117" s="53"/>
      <c r="G117" s="53"/>
      <c r="H117" s="53"/>
      <c r="I117" s="53"/>
      <c r="J117" s="53"/>
      <c r="K117" s="53"/>
      <c r="L117" s="53"/>
      <c r="M117" s="53"/>
      <c r="N117" s="53"/>
      <c r="O117" s="53"/>
      <c r="P117" s="53"/>
      <c r="Q117" s="53"/>
      <c r="R117" s="53"/>
      <c r="S117" s="53"/>
      <c r="T117" s="53"/>
      <c r="U117" s="53"/>
      <c r="V117" s="53"/>
      <c r="W117" s="53"/>
      <c r="X117" s="53"/>
      <c r="Y117" s="53"/>
      <c r="Z117" s="48"/>
    </row>
    <row r="118" spans="1:26" x14ac:dyDescent="0.25">
      <c r="A118" s="53"/>
      <c r="B118" s="53"/>
      <c r="C118" s="53"/>
      <c r="D118" s="53"/>
      <c r="E118" s="53"/>
      <c r="F118" s="53"/>
      <c r="G118" s="53"/>
      <c r="H118" s="53"/>
      <c r="I118" s="53"/>
      <c r="J118" s="53"/>
      <c r="K118" s="53"/>
      <c r="L118" s="53"/>
      <c r="M118" s="53"/>
      <c r="N118" s="53"/>
      <c r="O118" s="53"/>
      <c r="P118" s="53"/>
      <c r="Q118" s="53"/>
      <c r="R118" s="53"/>
      <c r="S118" s="53"/>
      <c r="T118" s="53"/>
      <c r="U118" s="53"/>
      <c r="V118" s="53"/>
      <c r="W118" s="53"/>
      <c r="X118" s="53"/>
      <c r="Y118" s="53"/>
      <c r="Z118" s="48"/>
    </row>
    <row r="119" spans="1:26" x14ac:dyDescent="0.25">
      <c r="A119" s="53"/>
      <c r="B119" s="53"/>
      <c r="C119" s="53"/>
      <c r="D119" s="53"/>
      <c r="E119" s="53"/>
      <c r="F119" s="53"/>
      <c r="G119" s="53"/>
      <c r="H119" s="53"/>
      <c r="I119" s="53"/>
      <c r="J119" s="53"/>
      <c r="K119" s="53"/>
      <c r="L119" s="53"/>
      <c r="M119" s="53"/>
      <c r="N119" s="53"/>
      <c r="O119" s="53"/>
      <c r="P119" s="53"/>
      <c r="Q119" s="53"/>
      <c r="R119" s="53"/>
      <c r="S119" s="53"/>
      <c r="T119" s="53"/>
      <c r="U119" s="53"/>
      <c r="V119" s="53"/>
      <c r="W119" s="53"/>
      <c r="X119" s="53"/>
      <c r="Y119" s="53"/>
      <c r="Z119" s="48"/>
    </row>
    <row r="120" spans="1:26" x14ac:dyDescent="0.25">
      <c r="A120" s="53"/>
      <c r="B120" s="53"/>
      <c r="C120" s="53"/>
      <c r="D120" s="53"/>
      <c r="E120" s="53"/>
      <c r="F120" s="53"/>
      <c r="G120" s="53"/>
      <c r="H120" s="53"/>
      <c r="I120" s="53"/>
      <c r="J120" s="53"/>
      <c r="K120" s="53"/>
      <c r="L120" s="53"/>
      <c r="M120" s="53"/>
      <c r="N120" s="53"/>
      <c r="O120" s="53"/>
      <c r="P120" s="53"/>
      <c r="Q120" s="53"/>
      <c r="R120" s="53"/>
      <c r="S120" s="53"/>
      <c r="T120" s="53"/>
      <c r="U120" s="53"/>
      <c r="V120" s="53"/>
      <c r="W120" s="53"/>
      <c r="X120" s="53"/>
      <c r="Y120" s="53"/>
      <c r="Z120" s="48"/>
    </row>
    <row r="121" spans="1:26" x14ac:dyDescent="0.25">
      <c r="A121" s="53"/>
      <c r="B121" s="53"/>
      <c r="C121" s="53"/>
      <c r="D121" s="53"/>
      <c r="E121" s="53"/>
      <c r="F121" s="53"/>
      <c r="G121" s="53"/>
      <c r="H121" s="53"/>
      <c r="I121" s="53"/>
      <c r="J121" s="53"/>
      <c r="K121" s="53"/>
      <c r="L121" s="53"/>
      <c r="M121" s="53"/>
      <c r="N121" s="53"/>
      <c r="O121" s="53"/>
      <c r="P121" s="53"/>
      <c r="Q121" s="53"/>
      <c r="R121" s="53"/>
      <c r="S121" s="53"/>
      <c r="T121" s="53"/>
      <c r="U121" s="53"/>
      <c r="V121" s="53"/>
      <c r="W121" s="53"/>
      <c r="X121" s="53"/>
      <c r="Y121" s="53"/>
      <c r="Z121" s="48"/>
    </row>
    <row r="122" spans="1:26" x14ac:dyDescent="0.25">
      <c r="A122" s="53"/>
      <c r="B122" s="53"/>
      <c r="C122" s="53"/>
      <c r="D122" s="53"/>
      <c r="E122" s="53"/>
      <c r="F122" s="53"/>
      <c r="G122" s="53"/>
      <c r="H122" s="53"/>
      <c r="I122" s="53"/>
      <c r="J122" s="53"/>
      <c r="K122" s="53"/>
      <c r="L122" s="53"/>
      <c r="M122" s="53"/>
      <c r="N122" s="53"/>
      <c r="O122" s="53"/>
      <c r="P122" s="53"/>
      <c r="Q122" s="53"/>
      <c r="R122" s="53"/>
      <c r="S122" s="53"/>
      <c r="T122" s="53"/>
      <c r="U122" s="53"/>
      <c r="V122" s="53"/>
      <c r="W122" s="53"/>
      <c r="X122" s="53"/>
      <c r="Y122" s="53"/>
      <c r="Z122" s="48"/>
    </row>
    <row r="123" spans="1:26" x14ac:dyDescent="0.25">
      <c r="A123" s="53"/>
      <c r="B123" s="53"/>
      <c r="C123" s="53"/>
      <c r="D123" s="53"/>
      <c r="E123" s="53"/>
      <c r="F123" s="53"/>
      <c r="G123" s="53"/>
      <c r="H123" s="53"/>
      <c r="I123" s="53"/>
      <c r="J123" s="53"/>
      <c r="K123" s="53"/>
      <c r="L123" s="53"/>
      <c r="M123" s="53"/>
      <c r="N123" s="53"/>
      <c r="O123" s="53"/>
      <c r="P123" s="53"/>
      <c r="Q123" s="53"/>
      <c r="R123" s="53"/>
      <c r="S123" s="53"/>
      <c r="T123" s="53"/>
      <c r="U123" s="53"/>
      <c r="V123" s="53"/>
      <c r="W123" s="53"/>
      <c r="X123" s="53"/>
      <c r="Y123" s="53"/>
      <c r="Z123" s="48"/>
    </row>
    <row r="124" spans="1:26" x14ac:dyDescent="0.25">
      <c r="A124" s="53"/>
      <c r="B124" s="53"/>
      <c r="C124" s="53"/>
      <c r="D124" s="53"/>
      <c r="E124" s="53"/>
      <c r="F124" s="53"/>
      <c r="G124" s="53"/>
      <c r="H124" s="53"/>
      <c r="I124" s="53"/>
      <c r="J124" s="53"/>
      <c r="K124" s="53"/>
      <c r="L124" s="53"/>
      <c r="M124" s="53"/>
      <c r="N124" s="53"/>
      <c r="O124" s="53"/>
      <c r="P124" s="53"/>
      <c r="Q124" s="53"/>
      <c r="R124" s="53"/>
      <c r="S124" s="53"/>
      <c r="T124" s="53"/>
      <c r="U124" s="53"/>
      <c r="V124" s="53"/>
      <c r="W124" s="53"/>
      <c r="X124" s="53"/>
      <c r="Y124" s="53"/>
      <c r="Z124" s="48"/>
    </row>
    <row r="125" spans="1:26" x14ac:dyDescent="0.25">
      <c r="A125" s="53"/>
      <c r="B125" s="53"/>
      <c r="C125" s="53"/>
      <c r="D125" s="53"/>
      <c r="E125" s="53"/>
      <c r="F125" s="53"/>
      <c r="G125" s="53"/>
      <c r="H125" s="53"/>
      <c r="I125" s="53"/>
      <c r="J125" s="53"/>
      <c r="K125" s="53"/>
      <c r="L125" s="53"/>
      <c r="M125" s="53"/>
      <c r="N125" s="53"/>
      <c r="O125" s="53"/>
      <c r="P125" s="53"/>
      <c r="Q125" s="53"/>
      <c r="R125" s="53"/>
      <c r="S125" s="53"/>
      <c r="T125" s="53"/>
      <c r="U125" s="53"/>
      <c r="V125" s="53"/>
      <c r="W125" s="53"/>
      <c r="X125" s="53"/>
      <c r="Y125" s="53"/>
      <c r="Z125" s="48"/>
    </row>
    <row r="126" spans="1:26" x14ac:dyDescent="0.25">
      <c r="A126" s="53"/>
      <c r="B126" s="53"/>
      <c r="C126" s="53"/>
      <c r="D126" s="53"/>
      <c r="E126" s="53"/>
      <c r="F126" s="53"/>
      <c r="G126" s="53"/>
      <c r="H126" s="53"/>
      <c r="I126" s="53"/>
      <c r="J126" s="53"/>
      <c r="K126" s="53"/>
      <c r="L126" s="53"/>
      <c r="M126" s="53"/>
      <c r="N126" s="53"/>
      <c r="O126" s="53"/>
      <c r="P126" s="53"/>
      <c r="Q126" s="53"/>
      <c r="R126" s="53"/>
      <c r="S126" s="53"/>
      <c r="T126" s="53"/>
      <c r="U126" s="53"/>
      <c r="V126" s="53"/>
      <c r="W126" s="53"/>
      <c r="X126" s="53"/>
      <c r="Y126" s="53"/>
      <c r="Z126" s="48"/>
    </row>
    <row r="127" spans="1:26" x14ac:dyDescent="0.25">
      <c r="A127" s="53"/>
      <c r="B127" s="53"/>
      <c r="C127" s="53"/>
      <c r="D127" s="53"/>
      <c r="E127" s="53"/>
      <c r="F127" s="53"/>
      <c r="G127" s="53"/>
      <c r="H127" s="53"/>
      <c r="I127" s="53"/>
      <c r="J127" s="53"/>
      <c r="K127" s="53"/>
      <c r="L127" s="53"/>
      <c r="M127" s="53"/>
      <c r="N127" s="53"/>
      <c r="O127" s="53"/>
      <c r="P127" s="53"/>
      <c r="Q127" s="53"/>
      <c r="R127" s="53"/>
      <c r="S127" s="53"/>
      <c r="T127" s="53"/>
      <c r="U127" s="53"/>
      <c r="V127" s="53"/>
      <c r="W127" s="53"/>
      <c r="X127" s="53"/>
      <c r="Y127" s="53"/>
      <c r="Z127" s="48"/>
    </row>
    <row r="128" spans="1:26" x14ac:dyDescent="0.25">
      <c r="A128" s="53"/>
      <c r="B128" s="53"/>
      <c r="C128" s="53"/>
      <c r="D128" s="53"/>
      <c r="E128" s="53"/>
      <c r="F128" s="53"/>
      <c r="G128" s="53"/>
      <c r="H128" s="53"/>
      <c r="I128" s="53"/>
      <c r="J128" s="53"/>
      <c r="K128" s="53"/>
      <c r="L128" s="53"/>
      <c r="M128" s="53"/>
      <c r="N128" s="53"/>
      <c r="O128" s="53"/>
      <c r="P128" s="53"/>
      <c r="Q128" s="53"/>
      <c r="R128" s="53"/>
      <c r="S128" s="53"/>
      <c r="T128" s="53"/>
      <c r="U128" s="53"/>
      <c r="V128" s="53"/>
      <c r="W128" s="53"/>
      <c r="X128" s="53"/>
      <c r="Y128" s="53"/>
      <c r="Z128" s="48"/>
    </row>
    <row r="129" spans="1:26" x14ac:dyDescent="0.25">
      <c r="A129" s="53"/>
      <c r="B129" s="53"/>
      <c r="C129" s="53"/>
      <c r="D129" s="53"/>
      <c r="E129" s="53"/>
      <c r="F129" s="53"/>
      <c r="G129" s="53"/>
      <c r="H129" s="53"/>
      <c r="I129" s="53"/>
      <c r="J129" s="53"/>
      <c r="K129" s="53"/>
      <c r="L129" s="53"/>
      <c r="M129" s="53"/>
      <c r="N129" s="53"/>
      <c r="O129" s="53"/>
      <c r="P129" s="53"/>
      <c r="Q129" s="53"/>
      <c r="R129" s="53"/>
      <c r="S129" s="53"/>
      <c r="T129" s="53"/>
      <c r="U129" s="53"/>
      <c r="V129" s="53"/>
      <c r="W129" s="53"/>
      <c r="X129" s="53"/>
      <c r="Y129" s="53"/>
      <c r="Z129" s="48"/>
    </row>
    <row r="130" spans="1:26" x14ac:dyDescent="0.25">
      <c r="A130" s="53"/>
      <c r="B130" s="53"/>
      <c r="C130" s="53"/>
      <c r="D130" s="53"/>
      <c r="E130" s="53"/>
      <c r="F130" s="53"/>
      <c r="G130" s="53"/>
      <c r="H130" s="53"/>
      <c r="I130" s="53"/>
      <c r="J130" s="53"/>
      <c r="K130" s="53"/>
      <c r="L130" s="53"/>
      <c r="M130" s="53"/>
      <c r="N130" s="53"/>
      <c r="O130" s="53"/>
      <c r="P130" s="53"/>
      <c r="Q130" s="53"/>
      <c r="R130" s="53"/>
      <c r="S130" s="53"/>
      <c r="T130" s="53"/>
      <c r="U130" s="53"/>
      <c r="V130" s="53"/>
      <c r="W130" s="53"/>
      <c r="X130" s="53"/>
      <c r="Y130" s="53"/>
      <c r="Z130" s="48"/>
    </row>
    <row r="131" spans="1:26" x14ac:dyDescent="0.25">
      <c r="A131" s="53"/>
      <c r="B131" s="53"/>
      <c r="C131" s="53"/>
      <c r="D131" s="53"/>
      <c r="E131" s="53"/>
      <c r="F131" s="53"/>
      <c r="G131" s="53"/>
      <c r="H131" s="53"/>
      <c r="I131" s="53"/>
      <c r="J131" s="53"/>
      <c r="K131" s="53"/>
      <c r="L131" s="53"/>
      <c r="M131" s="53"/>
      <c r="N131" s="53"/>
      <c r="O131" s="53"/>
      <c r="P131" s="53"/>
      <c r="Q131" s="53"/>
      <c r="R131" s="53"/>
      <c r="S131" s="53"/>
      <c r="T131" s="53"/>
      <c r="U131" s="53"/>
      <c r="V131" s="53"/>
      <c r="W131" s="53"/>
      <c r="X131" s="53"/>
      <c r="Y131" s="53"/>
      <c r="Z131" s="48"/>
    </row>
    <row r="132" spans="1:26" x14ac:dyDescent="0.25">
      <c r="A132" s="53"/>
      <c r="B132" s="53"/>
      <c r="C132" s="53"/>
      <c r="D132" s="53"/>
      <c r="E132" s="53"/>
      <c r="F132" s="53"/>
      <c r="G132" s="53"/>
      <c r="H132" s="53"/>
      <c r="I132" s="53"/>
      <c r="J132" s="53"/>
      <c r="K132" s="53"/>
      <c r="L132" s="53"/>
      <c r="M132" s="53"/>
      <c r="N132" s="53"/>
      <c r="O132" s="53"/>
      <c r="P132" s="53"/>
      <c r="Q132" s="53"/>
      <c r="R132" s="53"/>
      <c r="S132" s="53"/>
      <c r="T132" s="53"/>
      <c r="U132" s="53"/>
      <c r="V132" s="53"/>
      <c r="W132" s="53"/>
      <c r="X132" s="53"/>
      <c r="Y132" s="53"/>
      <c r="Z132" s="48"/>
    </row>
    <row r="133" spans="1:26" x14ac:dyDescent="0.25">
      <c r="A133" s="53"/>
      <c r="B133" s="53"/>
      <c r="C133" s="53"/>
      <c r="D133" s="53"/>
      <c r="E133" s="53"/>
      <c r="F133" s="53"/>
      <c r="G133" s="53"/>
      <c r="H133" s="53"/>
      <c r="I133" s="53"/>
      <c r="J133" s="53"/>
      <c r="K133" s="53"/>
      <c r="L133" s="53"/>
      <c r="M133" s="53"/>
      <c r="N133" s="53"/>
      <c r="O133" s="53"/>
      <c r="P133" s="53"/>
      <c r="Q133" s="53"/>
      <c r="R133" s="53"/>
      <c r="S133" s="53"/>
      <c r="T133" s="53"/>
      <c r="U133" s="53"/>
      <c r="V133" s="53"/>
      <c r="W133" s="53"/>
      <c r="X133" s="53"/>
      <c r="Y133" s="53"/>
      <c r="Z133" s="48"/>
    </row>
    <row r="134" spans="1:26" x14ac:dyDescent="0.25">
      <c r="A134" s="53"/>
      <c r="B134" s="53"/>
      <c r="C134" s="53"/>
      <c r="D134" s="53"/>
      <c r="E134" s="53"/>
      <c r="F134" s="53"/>
      <c r="G134" s="53"/>
      <c r="H134" s="53"/>
      <c r="I134" s="53"/>
      <c r="J134" s="53"/>
      <c r="K134" s="53"/>
      <c r="L134" s="53"/>
      <c r="M134" s="53"/>
      <c r="N134" s="53"/>
      <c r="O134" s="53"/>
      <c r="P134" s="53"/>
      <c r="Q134" s="53"/>
      <c r="R134" s="53"/>
      <c r="S134" s="53"/>
      <c r="T134" s="53"/>
      <c r="U134" s="53"/>
      <c r="V134" s="53"/>
      <c r="W134" s="53"/>
      <c r="X134" s="53"/>
      <c r="Y134" s="53"/>
      <c r="Z134" s="48"/>
    </row>
    <row r="135" spans="1:26" x14ac:dyDescent="0.25">
      <c r="A135" s="53"/>
      <c r="B135" s="53"/>
      <c r="C135" s="53"/>
      <c r="D135" s="53"/>
      <c r="E135" s="53"/>
      <c r="F135" s="53"/>
      <c r="G135" s="53"/>
      <c r="H135" s="53"/>
      <c r="I135" s="53"/>
      <c r="J135" s="53"/>
      <c r="K135" s="53"/>
      <c r="L135" s="53"/>
      <c r="M135" s="53"/>
      <c r="N135" s="53"/>
      <c r="O135" s="53"/>
      <c r="P135" s="53"/>
      <c r="Q135" s="53"/>
      <c r="R135" s="53"/>
      <c r="S135" s="53"/>
      <c r="T135" s="53"/>
      <c r="U135" s="53"/>
      <c r="V135" s="53"/>
      <c r="W135" s="53"/>
      <c r="X135" s="53"/>
      <c r="Y135" s="53"/>
      <c r="Z135" s="48"/>
    </row>
    <row r="136" spans="1:26" x14ac:dyDescent="0.25">
      <c r="A136" s="53"/>
      <c r="B136" s="53"/>
      <c r="C136" s="53"/>
      <c r="D136" s="53"/>
      <c r="E136" s="53"/>
      <c r="F136" s="53"/>
      <c r="G136" s="53"/>
      <c r="H136" s="53"/>
      <c r="I136" s="53"/>
      <c r="J136" s="53"/>
      <c r="K136" s="53"/>
      <c r="L136" s="53"/>
      <c r="M136" s="53"/>
      <c r="N136" s="53"/>
      <c r="O136" s="53"/>
      <c r="P136" s="53"/>
      <c r="Q136" s="53"/>
      <c r="R136" s="53"/>
      <c r="S136" s="53"/>
      <c r="T136" s="53"/>
      <c r="U136" s="53"/>
      <c r="V136" s="53"/>
      <c r="W136" s="53"/>
      <c r="X136" s="53"/>
      <c r="Y136" s="53"/>
      <c r="Z136" s="48"/>
    </row>
    <row r="137" spans="1:26" x14ac:dyDescent="0.25">
      <c r="A137" s="53"/>
      <c r="B137" s="53"/>
      <c r="C137" s="53"/>
      <c r="D137" s="53"/>
      <c r="E137" s="53"/>
      <c r="F137" s="53"/>
      <c r="G137" s="53"/>
      <c r="H137" s="53"/>
      <c r="I137" s="53"/>
      <c r="J137" s="53"/>
      <c r="K137" s="53"/>
      <c r="L137" s="53"/>
      <c r="M137" s="53"/>
      <c r="N137" s="53"/>
      <c r="O137" s="53"/>
      <c r="P137" s="53"/>
      <c r="Q137" s="53"/>
      <c r="R137" s="53"/>
      <c r="S137" s="53"/>
      <c r="T137" s="53"/>
      <c r="U137" s="53"/>
      <c r="V137" s="53"/>
      <c r="W137" s="53"/>
      <c r="X137" s="53"/>
      <c r="Y137" s="53"/>
      <c r="Z137" s="48"/>
    </row>
    <row r="138" spans="1:26" x14ac:dyDescent="0.25">
      <c r="A138" s="53"/>
      <c r="B138" s="53"/>
      <c r="C138" s="53"/>
      <c r="D138" s="53"/>
      <c r="E138" s="53"/>
      <c r="F138" s="53"/>
      <c r="G138" s="53"/>
      <c r="H138" s="53"/>
      <c r="I138" s="53"/>
      <c r="J138" s="53"/>
      <c r="K138" s="53"/>
      <c r="L138" s="53"/>
      <c r="M138" s="53"/>
      <c r="N138" s="53"/>
      <c r="O138" s="53"/>
      <c r="P138" s="53"/>
      <c r="Q138" s="53"/>
      <c r="R138" s="53"/>
      <c r="S138" s="53"/>
      <c r="T138" s="53"/>
      <c r="U138" s="53"/>
      <c r="V138" s="53"/>
      <c r="W138" s="53"/>
      <c r="X138" s="53"/>
      <c r="Y138" s="53"/>
      <c r="Z138" s="48"/>
    </row>
    <row r="139" spans="1:26" x14ac:dyDescent="0.25">
      <c r="A139" s="53"/>
      <c r="B139" s="53"/>
      <c r="C139" s="53"/>
      <c r="D139" s="53"/>
      <c r="E139" s="53"/>
      <c r="F139" s="53"/>
      <c r="G139" s="53"/>
      <c r="H139" s="53"/>
      <c r="I139" s="53"/>
      <c r="J139" s="53"/>
      <c r="K139" s="53"/>
      <c r="L139" s="53"/>
      <c r="M139" s="53"/>
      <c r="N139" s="53"/>
      <c r="O139" s="53"/>
      <c r="P139" s="53"/>
      <c r="Q139" s="53"/>
      <c r="R139" s="53"/>
      <c r="S139" s="53"/>
      <c r="T139" s="53"/>
      <c r="U139" s="53"/>
      <c r="V139" s="53"/>
      <c r="W139" s="53"/>
      <c r="X139" s="53"/>
      <c r="Y139" s="53"/>
      <c r="Z139" s="48"/>
    </row>
    <row r="140" spans="1:26" x14ac:dyDescent="0.25">
      <c r="A140" s="53"/>
      <c r="B140" s="53"/>
      <c r="C140" s="53"/>
      <c r="D140" s="53"/>
      <c r="E140" s="53"/>
      <c r="F140" s="53"/>
      <c r="G140" s="53"/>
      <c r="H140" s="53"/>
      <c r="I140" s="53"/>
      <c r="J140" s="53"/>
      <c r="K140" s="53"/>
      <c r="L140" s="53"/>
      <c r="M140" s="53"/>
      <c r="N140" s="53"/>
      <c r="O140" s="53"/>
      <c r="P140" s="53"/>
      <c r="Q140" s="53"/>
      <c r="R140" s="53"/>
      <c r="S140" s="53"/>
      <c r="T140" s="53"/>
      <c r="U140" s="53"/>
      <c r="V140" s="53"/>
      <c r="W140" s="53"/>
      <c r="X140" s="53"/>
      <c r="Y140" s="53"/>
      <c r="Z140" s="48"/>
    </row>
    <row r="141" spans="1:26" x14ac:dyDescent="0.25">
      <c r="A141" s="53"/>
      <c r="B141" s="53"/>
      <c r="C141" s="53"/>
      <c r="D141" s="53"/>
      <c r="E141" s="53"/>
      <c r="F141" s="53"/>
      <c r="G141" s="53"/>
      <c r="H141" s="53"/>
      <c r="I141" s="53"/>
      <c r="J141" s="53"/>
      <c r="K141" s="53"/>
      <c r="L141" s="53"/>
      <c r="M141" s="53"/>
      <c r="N141" s="53"/>
      <c r="O141" s="53"/>
      <c r="P141" s="53"/>
      <c r="Q141" s="53"/>
      <c r="R141" s="53"/>
      <c r="S141" s="53"/>
      <c r="T141" s="53"/>
      <c r="U141" s="53"/>
      <c r="V141" s="53"/>
      <c r="W141" s="53"/>
      <c r="X141" s="53"/>
      <c r="Y141" s="53"/>
      <c r="Z141" s="48"/>
    </row>
    <row r="142" spans="1:26" x14ac:dyDescent="0.25">
      <c r="A142" s="53"/>
      <c r="B142" s="53"/>
      <c r="C142" s="53"/>
      <c r="D142" s="53"/>
      <c r="E142" s="53"/>
      <c r="F142" s="53"/>
      <c r="G142" s="53"/>
      <c r="H142" s="53"/>
      <c r="I142" s="53"/>
      <c r="J142" s="53"/>
      <c r="K142" s="53"/>
      <c r="L142" s="53"/>
      <c r="M142" s="53"/>
      <c r="N142" s="53"/>
      <c r="O142" s="53"/>
      <c r="P142" s="53"/>
      <c r="Q142" s="53"/>
      <c r="R142" s="53"/>
      <c r="S142" s="53"/>
      <c r="T142" s="53"/>
      <c r="U142" s="53"/>
      <c r="V142" s="53"/>
      <c r="W142" s="53"/>
      <c r="X142" s="53"/>
      <c r="Y142" s="53"/>
      <c r="Z142" s="48"/>
    </row>
    <row r="143" spans="1:26" x14ac:dyDescent="0.25">
      <c r="A143" s="53"/>
      <c r="B143" s="53"/>
      <c r="C143" s="53"/>
      <c r="D143" s="53"/>
      <c r="E143" s="53"/>
      <c r="F143" s="53"/>
      <c r="G143" s="53"/>
      <c r="H143" s="53"/>
      <c r="I143" s="53"/>
      <c r="J143" s="53"/>
      <c r="K143" s="53"/>
      <c r="L143" s="53"/>
      <c r="M143" s="53"/>
      <c r="N143" s="53"/>
      <c r="O143" s="53"/>
      <c r="P143" s="53"/>
      <c r="Q143" s="53"/>
      <c r="R143" s="53"/>
      <c r="S143" s="53"/>
      <c r="T143" s="53"/>
      <c r="U143" s="53"/>
      <c r="V143" s="53"/>
      <c r="W143" s="53"/>
      <c r="X143" s="53"/>
      <c r="Y143" s="53"/>
      <c r="Z143" s="48"/>
    </row>
    <row r="144" spans="1:26" x14ac:dyDescent="0.25">
      <c r="A144" s="53"/>
      <c r="B144" s="53"/>
      <c r="C144" s="53"/>
      <c r="D144" s="53"/>
      <c r="E144" s="53"/>
      <c r="F144" s="53"/>
      <c r="G144" s="53"/>
      <c r="H144" s="53"/>
      <c r="I144" s="53"/>
      <c r="J144" s="53"/>
      <c r="K144" s="53"/>
      <c r="L144" s="53"/>
      <c r="M144" s="53"/>
      <c r="N144" s="53"/>
      <c r="O144" s="53"/>
      <c r="P144" s="53"/>
      <c r="Q144" s="53"/>
      <c r="R144" s="53"/>
      <c r="S144" s="53"/>
      <c r="T144" s="53"/>
      <c r="U144" s="53"/>
      <c r="V144" s="53"/>
      <c r="W144" s="53"/>
      <c r="X144" s="53"/>
      <c r="Y144" s="53"/>
      <c r="Z144" s="48"/>
    </row>
    <row r="145" spans="1:26" x14ac:dyDescent="0.25">
      <c r="A145" s="53"/>
      <c r="B145" s="53"/>
      <c r="C145" s="53"/>
      <c r="D145" s="53"/>
      <c r="E145" s="53"/>
      <c r="F145" s="53"/>
      <c r="G145" s="53"/>
      <c r="H145" s="53"/>
      <c r="I145" s="53"/>
      <c r="J145" s="53"/>
      <c r="K145" s="53"/>
      <c r="L145" s="53"/>
      <c r="M145" s="53"/>
      <c r="N145" s="53"/>
      <c r="O145" s="53"/>
      <c r="P145" s="53"/>
      <c r="Q145" s="53"/>
      <c r="R145" s="53"/>
      <c r="S145" s="53"/>
      <c r="T145" s="53"/>
      <c r="U145" s="53"/>
      <c r="V145" s="53"/>
      <c r="W145" s="53"/>
      <c r="X145" s="53"/>
      <c r="Y145" s="53"/>
      <c r="Z145" s="48"/>
    </row>
    <row r="146" spans="1:26" x14ac:dyDescent="0.25">
      <c r="A146" s="53"/>
      <c r="B146" s="53"/>
      <c r="C146" s="53"/>
      <c r="D146" s="53"/>
      <c r="E146" s="53"/>
      <c r="F146" s="53"/>
      <c r="G146" s="53"/>
      <c r="H146" s="53"/>
      <c r="I146" s="53"/>
      <c r="J146" s="53"/>
      <c r="K146" s="53"/>
      <c r="L146" s="53"/>
      <c r="M146" s="53"/>
      <c r="N146" s="53"/>
      <c r="O146" s="53"/>
      <c r="P146" s="53"/>
      <c r="Q146" s="53"/>
      <c r="R146" s="53"/>
      <c r="S146" s="53"/>
      <c r="T146" s="53"/>
      <c r="U146" s="53"/>
      <c r="V146" s="53"/>
      <c r="W146" s="53"/>
      <c r="X146" s="53"/>
      <c r="Y146" s="53"/>
      <c r="Z146" s="48"/>
    </row>
    <row r="147" spans="1:26" x14ac:dyDescent="0.25">
      <c r="A147" s="53"/>
      <c r="B147" s="53"/>
      <c r="C147" s="53"/>
      <c r="D147" s="53"/>
      <c r="E147" s="53"/>
      <c r="F147" s="53"/>
      <c r="G147" s="53"/>
      <c r="H147" s="53"/>
      <c r="I147" s="53"/>
      <c r="J147" s="53"/>
      <c r="K147" s="53"/>
      <c r="L147" s="53"/>
      <c r="M147" s="53"/>
      <c r="N147" s="53"/>
      <c r="O147" s="53"/>
      <c r="P147" s="53"/>
      <c r="Q147" s="53"/>
      <c r="R147" s="53"/>
      <c r="S147" s="53"/>
      <c r="T147" s="53"/>
      <c r="U147" s="53"/>
      <c r="V147" s="53"/>
      <c r="W147" s="53"/>
      <c r="X147" s="53"/>
      <c r="Y147" s="53"/>
      <c r="Z147" s="48"/>
    </row>
    <row r="148" spans="1:26" x14ac:dyDescent="0.25">
      <c r="A148" s="53"/>
      <c r="B148" s="53"/>
      <c r="C148" s="53"/>
      <c r="D148" s="53"/>
      <c r="E148" s="53"/>
      <c r="F148" s="53"/>
      <c r="G148" s="53"/>
      <c r="H148" s="53"/>
      <c r="I148" s="53"/>
      <c r="J148" s="53"/>
      <c r="K148" s="53"/>
      <c r="L148" s="53"/>
      <c r="M148" s="53"/>
      <c r="N148" s="53"/>
      <c r="O148" s="53"/>
      <c r="P148" s="53"/>
      <c r="Q148" s="53"/>
      <c r="R148" s="53"/>
      <c r="S148" s="53"/>
      <c r="T148" s="53"/>
      <c r="U148" s="53"/>
      <c r="V148" s="53"/>
      <c r="W148" s="53"/>
      <c r="X148" s="53"/>
      <c r="Y148" s="53"/>
      <c r="Z148" s="48"/>
    </row>
    <row r="149" spans="1:26" x14ac:dyDescent="0.25">
      <c r="A149" s="53"/>
      <c r="B149" s="53"/>
      <c r="C149" s="53"/>
      <c r="D149" s="53"/>
      <c r="E149" s="53"/>
      <c r="F149" s="53"/>
      <c r="G149" s="53"/>
      <c r="H149" s="53"/>
      <c r="I149" s="53"/>
      <c r="J149" s="53"/>
      <c r="K149" s="53"/>
      <c r="L149" s="53"/>
      <c r="M149" s="53"/>
      <c r="N149" s="53"/>
      <c r="O149" s="53"/>
      <c r="P149" s="53"/>
      <c r="Q149" s="53"/>
      <c r="R149" s="53"/>
      <c r="S149" s="53"/>
      <c r="T149" s="53"/>
      <c r="U149" s="53"/>
      <c r="V149" s="53"/>
      <c r="W149" s="53"/>
      <c r="X149" s="53"/>
      <c r="Y149" s="53"/>
      <c r="Z149" s="48"/>
    </row>
    <row r="150" spans="1:26" x14ac:dyDescent="0.25">
      <c r="A150" s="53"/>
      <c r="B150" s="53"/>
      <c r="C150" s="53"/>
      <c r="D150" s="53"/>
      <c r="E150" s="53"/>
      <c r="F150" s="53"/>
      <c r="G150" s="53"/>
      <c r="H150" s="53"/>
      <c r="I150" s="53"/>
      <c r="J150" s="53"/>
      <c r="K150" s="53"/>
      <c r="L150" s="53"/>
      <c r="M150" s="53"/>
      <c r="N150" s="53"/>
      <c r="O150" s="53"/>
      <c r="P150" s="53"/>
      <c r="Q150" s="53"/>
      <c r="R150" s="53"/>
      <c r="S150" s="53"/>
      <c r="T150" s="53"/>
      <c r="U150" s="53"/>
      <c r="V150" s="53"/>
      <c r="W150" s="53"/>
      <c r="X150" s="53"/>
      <c r="Y150" s="53"/>
      <c r="Z150" s="48"/>
    </row>
    <row r="151" spans="1:26" x14ac:dyDescent="0.25">
      <c r="A151" s="53"/>
      <c r="B151" s="53"/>
      <c r="C151" s="53"/>
      <c r="D151" s="53"/>
      <c r="E151" s="53"/>
      <c r="F151" s="53"/>
      <c r="G151" s="53"/>
      <c r="H151" s="53"/>
      <c r="I151" s="53"/>
      <c r="J151" s="53"/>
      <c r="K151" s="53"/>
      <c r="L151" s="53"/>
      <c r="M151" s="53"/>
      <c r="N151" s="53"/>
      <c r="O151" s="53"/>
      <c r="P151" s="53"/>
      <c r="Q151" s="53"/>
      <c r="R151" s="53"/>
      <c r="S151" s="53"/>
      <c r="T151" s="53"/>
      <c r="U151" s="53"/>
      <c r="V151" s="53"/>
      <c r="W151" s="53"/>
      <c r="X151" s="53"/>
      <c r="Y151" s="53"/>
      <c r="Z151" s="48"/>
    </row>
    <row r="152" spans="1:26" x14ac:dyDescent="0.25">
      <c r="A152" s="53"/>
      <c r="B152" s="53"/>
      <c r="C152" s="53"/>
      <c r="D152" s="53"/>
      <c r="E152" s="53"/>
      <c r="F152" s="53"/>
      <c r="G152" s="53"/>
      <c r="H152" s="53"/>
      <c r="I152" s="53"/>
      <c r="J152" s="53"/>
      <c r="K152" s="53"/>
      <c r="L152" s="53"/>
      <c r="M152" s="53"/>
      <c r="N152" s="53"/>
      <c r="O152" s="53"/>
      <c r="P152" s="53"/>
      <c r="Q152" s="53"/>
      <c r="R152" s="53"/>
      <c r="S152" s="53"/>
      <c r="T152" s="53"/>
      <c r="U152" s="53"/>
      <c r="V152" s="53"/>
      <c r="W152" s="53"/>
      <c r="X152" s="53"/>
      <c r="Y152" s="53"/>
      <c r="Z152" s="48"/>
    </row>
    <row r="153" spans="1:26" x14ac:dyDescent="0.25">
      <c r="A153" s="53"/>
      <c r="B153" s="53"/>
      <c r="C153" s="53"/>
      <c r="D153" s="53"/>
      <c r="E153" s="53"/>
      <c r="F153" s="53"/>
      <c r="G153" s="53"/>
      <c r="H153" s="53"/>
      <c r="I153" s="53"/>
      <c r="J153" s="53"/>
      <c r="K153" s="53"/>
      <c r="L153" s="53"/>
      <c r="M153" s="53"/>
      <c r="N153" s="53"/>
      <c r="O153" s="53"/>
      <c r="P153" s="53"/>
      <c r="Q153" s="53"/>
      <c r="R153" s="53"/>
      <c r="S153" s="53"/>
      <c r="T153" s="53"/>
      <c r="U153" s="53"/>
      <c r="V153" s="53"/>
      <c r="W153" s="53"/>
      <c r="X153" s="53"/>
      <c r="Y153" s="53"/>
      <c r="Z153" s="48"/>
    </row>
    <row r="154" spans="1:26" x14ac:dyDescent="0.25">
      <c r="A154" s="53"/>
      <c r="B154" s="53"/>
      <c r="C154" s="53"/>
      <c r="D154" s="53"/>
      <c r="E154" s="53"/>
      <c r="F154" s="53"/>
      <c r="G154" s="53"/>
      <c r="H154" s="53"/>
      <c r="I154" s="53"/>
      <c r="J154" s="53"/>
      <c r="K154" s="53"/>
      <c r="L154" s="53"/>
      <c r="M154" s="53"/>
      <c r="N154" s="53"/>
      <c r="O154" s="53"/>
      <c r="P154" s="53"/>
      <c r="Q154" s="53"/>
      <c r="R154" s="53"/>
      <c r="S154" s="53"/>
      <c r="T154" s="53"/>
      <c r="U154" s="53"/>
      <c r="V154" s="53"/>
      <c r="W154" s="53"/>
      <c r="X154" s="53"/>
      <c r="Y154" s="53"/>
      <c r="Z154" s="48"/>
    </row>
    <row r="155" spans="1:26" x14ac:dyDescent="0.25">
      <c r="A155" s="53"/>
      <c r="B155" s="53"/>
      <c r="C155" s="53"/>
      <c r="D155" s="53"/>
      <c r="E155" s="53"/>
      <c r="F155" s="53"/>
      <c r="G155" s="53"/>
      <c r="H155" s="53"/>
      <c r="I155" s="53"/>
      <c r="J155" s="53"/>
      <c r="K155" s="53"/>
      <c r="L155" s="53"/>
      <c r="M155" s="53"/>
      <c r="N155" s="53"/>
      <c r="O155" s="53"/>
      <c r="P155" s="53"/>
      <c r="Q155" s="53"/>
      <c r="R155" s="53"/>
      <c r="S155" s="53"/>
      <c r="T155" s="53"/>
      <c r="U155" s="53"/>
      <c r="V155" s="53"/>
      <c r="W155" s="53"/>
      <c r="X155" s="53"/>
      <c r="Y155" s="53"/>
      <c r="Z155" s="48"/>
    </row>
    <row r="156" spans="1:26" x14ac:dyDescent="0.25">
      <c r="A156" s="53"/>
      <c r="B156" s="53"/>
      <c r="C156" s="53"/>
      <c r="D156" s="53"/>
      <c r="E156" s="53"/>
      <c r="F156" s="53"/>
      <c r="G156" s="53"/>
      <c r="H156" s="53"/>
      <c r="I156" s="53"/>
      <c r="J156" s="53"/>
      <c r="K156" s="53"/>
      <c r="L156" s="53"/>
      <c r="M156" s="53"/>
      <c r="N156" s="53"/>
      <c r="O156" s="53"/>
      <c r="P156" s="53"/>
      <c r="Q156" s="53"/>
      <c r="R156" s="53"/>
      <c r="S156" s="53"/>
      <c r="T156" s="53"/>
      <c r="U156" s="53"/>
      <c r="V156" s="53"/>
      <c r="W156" s="53"/>
      <c r="X156" s="53"/>
      <c r="Y156" s="53"/>
      <c r="Z156" s="48"/>
    </row>
    <row r="157" spans="1:26" x14ac:dyDescent="0.25">
      <c r="A157" s="53"/>
      <c r="B157" s="53"/>
      <c r="C157" s="53"/>
      <c r="D157" s="53"/>
      <c r="E157" s="53"/>
      <c r="F157" s="53"/>
      <c r="G157" s="53"/>
      <c r="H157" s="53"/>
      <c r="I157" s="53"/>
      <c r="J157" s="53"/>
      <c r="K157" s="53"/>
      <c r="L157" s="53"/>
      <c r="M157" s="53"/>
      <c r="N157" s="53"/>
      <c r="O157" s="53"/>
      <c r="P157" s="53"/>
      <c r="Q157" s="53"/>
      <c r="R157" s="53"/>
      <c r="S157" s="53"/>
      <c r="T157" s="53"/>
      <c r="U157" s="53"/>
      <c r="V157" s="53"/>
      <c r="W157" s="53"/>
      <c r="X157" s="53"/>
      <c r="Y157" s="53"/>
      <c r="Z157" s="48"/>
    </row>
    <row r="158" spans="1:26" x14ac:dyDescent="0.25">
      <c r="A158" s="53"/>
      <c r="B158" s="53"/>
      <c r="C158" s="53"/>
      <c r="D158" s="53"/>
      <c r="E158" s="53"/>
      <c r="F158" s="53"/>
      <c r="G158" s="53"/>
      <c r="H158" s="53"/>
      <c r="I158" s="53"/>
      <c r="J158" s="53"/>
      <c r="K158" s="53"/>
      <c r="L158" s="53"/>
      <c r="M158" s="53"/>
      <c r="N158" s="53"/>
      <c r="O158" s="53"/>
      <c r="P158" s="53"/>
      <c r="Q158" s="53"/>
      <c r="R158" s="53"/>
      <c r="S158" s="53"/>
      <c r="T158" s="53"/>
      <c r="U158" s="53"/>
      <c r="V158" s="53"/>
      <c r="W158" s="53"/>
      <c r="X158" s="53"/>
      <c r="Y158" s="53"/>
      <c r="Z158" s="48"/>
    </row>
    <row r="159" spans="1:26" x14ac:dyDescent="0.25">
      <c r="A159" s="53"/>
      <c r="B159" s="53"/>
      <c r="C159" s="53"/>
      <c r="D159" s="53"/>
      <c r="E159" s="53"/>
      <c r="F159" s="53"/>
      <c r="G159" s="53"/>
      <c r="H159" s="53"/>
      <c r="I159" s="53"/>
      <c r="J159" s="53"/>
      <c r="K159" s="53"/>
      <c r="L159" s="53"/>
      <c r="M159" s="53"/>
      <c r="N159" s="53"/>
      <c r="O159" s="53"/>
      <c r="P159" s="53"/>
      <c r="Q159" s="53"/>
      <c r="R159" s="53"/>
      <c r="S159" s="53"/>
      <c r="T159" s="53"/>
      <c r="U159" s="53"/>
      <c r="V159" s="53"/>
      <c r="W159" s="53"/>
      <c r="X159" s="53"/>
      <c r="Y159" s="53"/>
      <c r="Z159" s="48"/>
    </row>
    <row r="160" spans="1:26" x14ac:dyDescent="0.25">
      <c r="A160" s="53"/>
      <c r="B160" s="53"/>
      <c r="C160" s="53"/>
      <c r="D160" s="53"/>
      <c r="E160" s="53"/>
      <c r="F160" s="53"/>
      <c r="G160" s="53"/>
      <c r="H160" s="53"/>
      <c r="I160" s="53"/>
      <c r="J160" s="53"/>
      <c r="K160" s="53"/>
      <c r="L160" s="53"/>
      <c r="M160" s="53"/>
      <c r="N160" s="53"/>
      <c r="O160" s="53"/>
      <c r="P160" s="53"/>
      <c r="Q160" s="53"/>
      <c r="R160" s="53"/>
      <c r="S160" s="53"/>
      <c r="T160" s="53"/>
      <c r="U160" s="53"/>
      <c r="V160" s="53"/>
      <c r="W160" s="53"/>
      <c r="X160" s="53"/>
      <c r="Y160" s="53"/>
      <c r="Z160" s="48"/>
    </row>
    <row r="161" spans="1:26" x14ac:dyDescent="0.25">
      <c r="A161" s="53"/>
      <c r="B161" s="53"/>
      <c r="C161" s="53"/>
      <c r="D161" s="53"/>
      <c r="E161" s="53"/>
      <c r="F161" s="53"/>
      <c r="G161" s="53"/>
      <c r="H161" s="53"/>
      <c r="I161" s="53"/>
      <c r="J161" s="53"/>
      <c r="K161" s="53"/>
      <c r="L161" s="53"/>
      <c r="M161" s="53"/>
      <c r="N161" s="53"/>
      <c r="O161" s="53"/>
      <c r="P161" s="53"/>
      <c r="Q161" s="53"/>
      <c r="R161" s="53"/>
      <c r="S161" s="53"/>
      <c r="T161" s="53"/>
      <c r="U161" s="53"/>
      <c r="V161" s="53"/>
      <c r="W161" s="53"/>
      <c r="X161" s="53"/>
      <c r="Y161" s="53"/>
      <c r="Z161" s="48"/>
    </row>
    <row r="162" spans="1:26" x14ac:dyDescent="0.25">
      <c r="A162" s="53"/>
      <c r="B162" s="53"/>
      <c r="C162" s="53"/>
      <c r="D162" s="53"/>
      <c r="E162" s="53"/>
      <c r="F162" s="53"/>
      <c r="G162" s="53"/>
      <c r="H162" s="53"/>
      <c r="I162" s="53"/>
      <c r="J162" s="53"/>
      <c r="K162" s="53"/>
      <c r="L162" s="53"/>
      <c r="M162" s="53"/>
      <c r="N162" s="53"/>
      <c r="O162" s="53"/>
      <c r="P162" s="53"/>
      <c r="Q162" s="53"/>
      <c r="R162" s="53"/>
      <c r="S162" s="53"/>
      <c r="T162" s="53"/>
      <c r="U162" s="53"/>
      <c r="V162" s="53"/>
      <c r="W162" s="53"/>
      <c r="X162" s="53"/>
      <c r="Y162" s="53"/>
      <c r="Z162" s="48"/>
    </row>
    <row r="163" spans="1:26" x14ac:dyDescent="0.25">
      <c r="A163" s="53"/>
      <c r="B163" s="53"/>
      <c r="C163" s="53"/>
      <c r="D163" s="53"/>
      <c r="E163" s="53"/>
      <c r="F163" s="53"/>
      <c r="G163" s="53"/>
      <c r="H163" s="53"/>
      <c r="I163" s="53"/>
      <c r="J163" s="53"/>
      <c r="K163" s="53"/>
      <c r="L163" s="53"/>
      <c r="M163" s="53"/>
      <c r="N163" s="53"/>
      <c r="O163" s="53"/>
      <c r="P163" s="53"/>
      <c r="Q163" s="53"/>
      <c r="R163" s="53"/>
      <c r="S163" s="53"/>
      <c r="T163" s="53"/>
      <c r="U163" s="53"/>
      <c r="V163" s="53"/>
      <c r="W163" s="53"/>
      <c r="X163" s="53"/>
      <c r="Y163" s="53"/>
      <c r="Z163" s="48"/>
    </row>
    <row r="164" spans="1:26" x14ac:dyDescent="0.25">
      <c r="A164" s="53"/>
      <c r="B164" s="53"/>
      <c r="C164" s="53"/>
      <c r="D164" s="53"/>
      <c r="E164" s="53"/>
      <c r="F164" s="53"/>
      <c r="G164" s="53"/>
      <c r="H164" s="53"/>
      <c r="I164" s="53"/>
      <c r="J164" s="53"/>
      <c r="K164" s="53"/>
      <c r="L164" s="53"/>
      <c r="M164" s="53"/>
      <c r="N164" s="53"/>
      <c r="O164" s="53"/>
      <c r="P164" s="53"/>
      <c r="Q164" s="53"/>
      <c r="R164" s="53"/>
      <c r="S164" s="53"/>
      <c r="T164" s="53"/>
      <c r="U164" s="53"/>
      <c r="V164" s="53"/>
      <c r="W164" s="53"/>
      <c r="X164" s="53"/>
      <c r="Y164" s="53"/>
      <c r="Z164" s="48"/>
    </row>
    <row r="165" spans="1:26" x14ac:dyDescent="0.25">
      <c r="A165" s="53"/>
      <c r="B165" s="53"/>
      <c r="C165" s="53"/>
      <c r="D165" s="53"/>
      <c r="E165" s="53"/>
      <c r="F165" s="53"/>
      <c r="G165" s="53"/>
      <c r="H165" s="53"/>
      <c r="I165" s="53"/>
      <c r="J165" s="53"/>
      <c r="K165" s="53"/>
      <c r="L165" s="53"/>
      <c r="M165" s="53"/>
      <c r="N165" s="53"/>
      <c r="O165" s="53"/>
      <c r="P165" s="53"/>
      <c r="Q165" s="53"/>
      <c r="R165" s="53"/>
      <c r="S165" s="53"/>
      <c r="T165" s="53"/>
      <c r="U165" s="53"/>
      <c r="V165" s="53"/>
      <c r="W165" s="53"/>
      <c r="X165" s="53"/>
      <c r="Y165" s="53"/>
      <c r="Z165" s="48"/>
    </row>
    <row r="166" spans="1:26" x14ac:dyDescent="0.25">
      <c r="A166" s="53"/>
      <c r="B166" s="53"/>
      <c r="C166" s="53"/>
      <c r="D166" s="53"/>
      <c r="E166" s="53"/>
      <c r="F166" s="53"/>
      <c r="G166" s="53"/>
      <c r="H166" s="53"/>
      <c r="I166" s="53"/>
      <c r="J166" s="53"/>
      <c r="K166" s="53"/>
      <c r="L166" s="53"/>
      <c r="M166" s="53"/>
      <c r="N166" s="53"/>
      <c r="O166" s="53"/>
      <c r="P166" s="53"/>
      <c r="Q166" s="53"/>
      <c r="R166" s="53"/>
      <c r="S166" s="53"/>
      <c r="T166" s="53"/>
      <c r="U166" s="53"/>
      <c r="V166" s="53"/>
      <c r="W166" s="53"/>
      <c r="X166" s="53"/>
      <c r="Y166" s="53"/>
      <c r="Z166" s="48"/>
    </row>
    <row r="167" spans="1:26" x14ac:dyDescent="0.25">
      <c r="A167" s="53"/>
      <c r="B167" s="53"/>
      <c r="C167" s="53"/>
      <c r="D167" s="53"/>
      <c r="E167" s="53"/>
      <c r="F167" s="53"/>
      <c r="G167" s="53"/>
      <c r="H167" s="53"/>
      <c r="I167" s="53"/>
      <c r="J167" s="53"/>
      <c r="K167" s="53"/>
      <c r="L167" s="53"/>
      <c r="M167" s="53"/>
      <c r="N167" s="53"/>
      <c r="O167" s="53"/>
      <c r="P167" s="53"/>
      <c r="Q167" s="53"/>
      <c r="R167" s="53"/>
      <c r="S167" s="53"/>
      <c r="T167" s="53"/>
      <c r="U167" s="53"/>
      <c r="V167" s="53"/>
      <c r="W167" s="53"/>
      <c r="X167" s="53"/>
      <c r="Y167" s="53"/>
      <c r="Z167" s="48"/>
    </row>
    <row r="168" spans="1:26" x14ac:dyDescent="0.25">
      <c r="A168" s="53"/>
      <c r="B168" s="53"/>
      <c r="C168" s="53"/>
      <c r="D168" s="53"/>
      <c r="E168" s="53"/>
      <c r="F168" s="53"/>
      <c r="G168" s="53"/>
      <c r="H168" s="53"/>
      <c r="I168" s="53"/>
      <c r="J168" s="53"/>
      <c r="K168" s="53"/>
      <c r="L168" s="53"/>
      <c r="M168" s="53"/>
      <c r="N168" s="53"/>
      <c r="O168" s="53"/>
      <c r="P168" s="53"/>
      <c r="Q168" s="53"/>
      <c r="R168" s="53"/>
      <c r="S168" s="53"/>
      <c r="T168" s="53"/>
      <c r="U168" s="53"/>
      <c r="V168" s="53"/>
      <c r="W168" s="53"/>
      <c r="X168" s="53"/>
      <c r="Y168" s="53"/>
      <c r="Z168" s="48"/>
    </row>
    <row r="169" spans="1:26" ht="25.5" customHeight="1" x14ac:dyDescent="0.25">
      <c r="A169" s="53"/>
      <c r="B169" s="99" t="s">
        <v>3104</v>
      </c>
      <c r="C169" s="99"/>
      <c r="D169" s="99"/>
      <c r="E169" s="99"/>
      <c r="F169" s="99"/>
      <c r="G169" s="99"/>
      <c r="H169" s="99"/>
      <c r="I169" s="99"/>
      <c r="J169" s="99"/>
      <c r="K169" s="99"/>
      <c r="L169" s="99"/>
      <c r="M169" s="99"/>
      <c r="N169" s="99"/>
      <c r="O169" s="99"/>
      <c r="P169" s="99"/>
      <c r="Q169" s="99"/>
      <c r="R169" s="99"/>
      <c r="S169" s="53"/>
      <c r="T169" s="53"/>
      <c r="U169" s="53"/>
      <c r="V169" s="53"/>
      <c r="W169" s="53"/>
      <c r="X169" s="53"/>
      <c r="Y169" s="53"/>
      <c r="Z169" s="48"/>
    </row>
    <row r="170" spans="1:26" x14ac:dyDescent="0.25">
      <c r="A170" s="53"/>
      <c r="B170" s="95"/>
      <c r="C170" s="95"/>
      <c r="D170" s="95"/>
      <c r="E170" s="95"/>
      <c r="F170" s="95"/>
      <c r="G170" s="95"/>
      <c r="H170" s="95"/>
      <c r="I170" s="95"/>
      <c r="J170" s="95"/>
      <c r="K170" s="95"/>
      <c r="L170" s="95"/>
      <c r="M170" s="95"/>
      <c r="N170" s="95"/>
      <c r="O170" s="95"/>
      <c r="P170" s="95"/>
      <c r="Q170" s="95"/>
      <c r="R170" s="95"/>
      <c r="S170" s="53"/>
      <c r="T170" s="53"/>
      <c r="U170" s="53"/>
      <c r="V170" s="53"/>
      <c r="W170" s="53"/>
      <c r="X170" s="53"/>
      <c r="Y170" s="53"/>
      <c r="Z170" s="48"/>
    </row>
    <row r="171" spans="1:26" x14ac:dyDescent="0.25">
      <c r="A171" s="53"/>
      <c r="B171" s="98" t="str">
        <f>CONSOLIDADO!N7</f>
        <v>233 COTAS DE MAXI RENDA FUNDO DE INVESTIMENTO IMOBILIARIO - FII ,CÓDIGO DE NEGOCIAÇÃO: MXRF11. PREÇO MÉDIO DE R$ 10,13 E CUSTO TOTAL DE AQUISIÇÃO DE R$ 2360,29</v>
      </c>
      <c r="C171" s="96"/>
      <c r="D171" s="96"/>
      <c r="E171" s="96"/>
      <c r="F171" s="96"/>
      <c r="G171" s="96"/>
      <c r="H171" s="96"/>
      <c r="I171" s="96"/>
      <c r="J171" s="96"/>
      <c r="K171" s="96"/>
      <c r="L171" s="96"/>
      <c r="M171" s="96"/>
      <c r="N171" s="96"/>
      <c r="O171" s="96"/>
      <c r="P171" s="96"/>
      <c r="Q171" s="96"/>
      <c r="R171" s="96"/>
      <c r="S171" s="53"/>
      <c r="T171" s="53"/>
      <c r="U171" s="53"/>
      <c r="V171" s="53"/>
      <c r="W171" s="53"/>
      <c r="X171" s="53"/>
      <c r="Y171" s="53"/>
      <c r="Z171" s="48"/>
    </row>
    <row r="172" spans="1:26" x14ac:dyDescent="0.25">
      <c r="A172" s="53"/>
      <c r="B172" s="98" t="str">
        <f>CONSOLIDADO!N8</f>
        <v>30 COTAS DE KINEA RENDA IMOBILIARIA FII ,CÓDIGO DE NEGOCIAÇÃO: KNRI11. PREÇO MÉDIO DE R$ 149,57 E CUSTO TOTAL DE AQUISIÇÃO DE R$ 4487,1</v>
      </c>
      <c r="C172" s="96"/>
      <c r="D172" s="96"/>
      <c r="E172" s="96"/>
      <c r="F172" s="96"/>
      <c r="G172" s="96"/>
      <c r="H172" s="96"/>
      <c r="I172" s="96"/>
      <c r="J172" s="96"/>
      <c r="K172" s="96"/>
      <c r="L172" s="96"/>
      <c r="M172" s="96"/>
      <c r="N172" s="96"/>
      <c r="O172" s="96"/>
      <c r="P172" s="96"/>
      <c r="Q172" s="96"/>
      <c r="R172" s="96"/>
      <c r="S172" s="53"/>
      <c r="T172" s="53"/>
      <c r="U172" s="53"/>
      <c r="V172" s="53"/>
      <c r="W172" s="53"/>
      <c r="X172" s="53"/>
      <c r="Y172" s="53"/>
      <c r="Z172" s="48"/>
    </row>
    <row r="173" spans="1:26" x14ac:dyDescent="0.25">
      <c r="A173" s="53"/>
      <c r="B173" s="98" t="str">
        <f>CONSOLIDADO!N9</f>
        <v>24 COTAS DE CSHG RENDA URBANA-FI IMOBILIARIO-FII ,CÓDIGO DE NEGOCIAÇÃO: HGRU11. PREÇO MÉDIO DE R$ 118,54 E CUSTO TOTAL DE AQUISIÇÃO DE R$ 2844,96</v>
      </c>
      <c r="C173" s="96"/>
      <c r="D173" s="96"/>
      <c r="E173" s="96"/>
      <c r="F173" s="96"/>
      <c r="G173" s="96"/>
      <c r="H173" s="96"/>
      <c r="I173" s="96"/>
      <c r="J173" s="96"/>
      <c r="K173" s="96"/>
      <c r="L173" s="96"/>
      <c r="M173" s="96"/>
      <c r="N173" s="96"/>
      <c r="O173" s="96"/>
      <c r="P173" s="96"/>
      <c r="Q173" s="96"/>
      <c r="R173" s="96"/>
      <c r="S173" s="53"/>
      <c r="T173" s="53"/>
      <c r="U173" s="53"/>
      <c r="V173" s="53"/>
      <c r="W173" s="53"/>
      <c r="X173" s="53"/>
      <c r="Y173" s="53"/>
      <c r="Z173" s="48"/>
    </row>
    <row r="174" spans="1:26" x14ac:dyDescent="0.25">
      <c r="A174" s="53"/>
      <c r="B174" s="98" t="str">
        <f>CONSOLIDADO!N10</f>
        <v>60 COTAS DE VINCI OFFICES FDO INV IMOB - FII VINC COR ,CÓDIGO DE NEGOCIAÇÃO: VINO11. PREÇO MÉDIO DE R$ 53,83 E CUSTO TOTAL DE AQUISIÇÃO DE R$ 3229,8</v>
      </c>
      <c r="C174" s="96"/>
      <c r="D174" s="96"/>
      <c r="E174" s="96"/>
      <c r="F174" s="96"/>
      <c r="G174" s="96"/>
      <c r="H174" s="96"/>
      <c r="I174" s="96"/>
      <c r="J174" s="96"/>
      <c r="K174" s="96"/>
      <c r="L174" s="96"/>
      <c r="M174" s="96"/>
      <c r="N174" s="96"/>
      <c r="O174" s="96"/>
      <c r="P174" s="96"/>
      <c r="Q174" s="96"/>
      <c r="R174" s="96"/>
      <c r="S174" s="53"/>
      <c r="T174" s="53"/>
      <c r="U174" s="53"/>
      <c r="V174" s="53"/>
      <c r="W174" s="53"/>
      <c r="X174" s="53"/>
      <c r="Y174" s="53"/>
      <c r="Z174" s="48"/>
    </row>
    <row r="175" spans="1:26" x14ac:dyDescent="0.25">
      <c r="A175" s="53"/>
      <c r="B175" s="98" t="str">
        <f>CONSOLIDADO!N11</f>
        <v>22 COTAS DE XP MALLS FUNDO DE INVESTIMENTO IMOBILIARIO ,CÓDIGO DE NEGOCIAÇÃO: XPML11. PREÇO MÉDIO DE R$ 105,35 E CUSTO TOTAL DE AQUISIÇÃO DE R$ 2317,7</v>
      </c>
      <c r="C175" s="96"/>
      <c r="D175" s="96"/>
      <c r="E175" s="96"/>
      <c r="F175" s="96"/>
      <c r="G175" s="96"/>
      <c r="H175" s="96"/>
      <c r="I175" s="96"/>
      <c r="J175" s="96"/>
      <c r="K175" s="96"/>
      <c r="L175" s="96"/>
      <c r="M175" s="96"/>
      <c r="N175" s="96"/>
      <c r="O175" s="96"/>
      <c r="P175" s="96"/>
      <c r="Q175" s="96"/>
      <c r="R175" s="96"/>
      <c r="S175" s="53"/>
      <c r="T175" s="53"/>
      <c r="U175" s="53"/>
      <c r="V175" s="53"/>
      <c r="W175" s="53"/>
      <c r="X175" s="53"/>
      <c r="Y175" s="53"/>
      <c r="Z175" s="48"/>
    </row>
    <row r="176" spans="1:26" x14ac:dyDescent="0.25">
      <c r="A176" s="53"/>
      <c r="B176" s="98" t="str">
        <f>CONSOLIDADO!N12</f>
        <v>28 COTAS DE CSHG REAL ESTATE FI IMOBILIARIO-FII ,CÓDIGO DE NEGOCIAÇÃO: HGRE11. PREÇO MÉDIO DE R$ 139,21 E CUSTO TOTAL DE AQUISIÇÃO DE R$ 3897,88</v>
      </c>
      <c r="C176" s="96"/>
      <c r="D176" s="96"/>
      <c r="E176" s="96"/>
      <c r="F176" s="96"/>
      <c r="G176" s="96"/>
      <c r="H176" s="96"/>
      <c r="I176" s="96"/>
      <c r="J176" s="96"/>
      <c r="K176" s="96"/>
      <c r="L176" s="96"/>
      <c r="M176" s="96"/>
      <c r="N176" s="96"/>
      <c r="O176" s="96"/>
      <c r="P176" s="96"/>
      <c r="Q176" s="96"/>
      <c r="R176" s="96"/>
      <c r="S176" s="53"/>
      <c r="T176" s="53"/>
      <c r="U176" s="53"/>
      <c r="V176" s="53"/>
      <c r="W176" s="53"/>
      <c r="X176" s="53"/>
      <c r="Y176" s="53"/>
      <c r="Z176" s="48"/>
    </row>
    <row r="177" spans="1:26" x14ac:dyDescent="0.25">
      <c r="A177" s="53"/>
      <c r="B177" s="98" t="str">
        <f>CONSOLIDADO!N13</f>
        <v>21 COTAS DE CSHG LOGISTICA FND DE INVSTMNT IMBLR FII ,CÓDIGO DE NEGOCIAÇÃO: HGLG11. PREÇO MÉDIO DE R$ 166,39 E CUSTO TOTAL DE AQUISIÇÃO DE R$ 3494,19</v>
      </c>
      <c r="C177" s="96"/>
      <c r="D177" s="96"/>
      <c r="E177" s="96"/>
      <c r="F177" s="96"/>
      <c r="G177" s="96"/>
      <c r="H177" s="96"/>
      <c r="I177" s="96"/>
      <c r="J177" s="96"/>
      <c r="K177" s="96"/>
      <c r="L177" s="96"/>
      <c r="M177" s="96"/>
      <c r="N177" s="96"/>
      <c r="O177" s="96"/>
      <c r="P177" s="96"/>
      <c r="Q177" s="96"/>
      <c r="R177" s="96"/>
      <c r="S177" s="53"/>
      <c r="T177" s="53"/>
      <c r="U177" s="53"/>
      <c r="V177" s="53"/>
      <c r="W177" s="53"/>
      <c r="X177" s="53"/>
      <c r="Y177" s="53"/>
      <c r="Z177" s="48"/>
    </row>
    <row r="178" spans="1:26" x14ac:dyDescent="0.25">
      <c r="A178" s="53"/>
      <c r="B178" s="98" t="str">
        <f>CONSOLIDADO!N14</f>
        <v>54 COTAS DE FI IMOBILIARIO FII BTG PACTUAL FUNDO DE FUNDOS ,CÓDIGO DE NEGOCIAÇÃO: BCFF11. PREÇO MÉDIO DE R$ 77,82 E CUSTO TOTAL DE AQUISIÇÃO DE R$ 4202,28</v>
      </c>
      <c r="C178" s="96"/>
      <c r="D178" s="96"/>
      <c r="E178" s="96"/>
      <c r="F178" s="96"/>
      <c r="G178" s="96"/>
      <c r="H178" s="96"/>
      <c r="I178" s="96"/>
      <c r="J178" s="96"/>
      <c r="K178" s="96"/>
      <c r="L178" s="96"/>
      <c r="M178" s="96"/>
      <c r="N178" s="96"/>
      <c r="O178" s="96"/>
      <c r="P178" s="96"/>
      <c r="Q178" s="96"/>
      <c r="R178" s="96"/>
      <c r="S178" s="53"/>
      <c r="T178" s="53"/>
      <c r="U178" s="53"/>
      <c r="V178" s="53"/>
      <c r="W178" s="53"/>
      <c r="X178" s="53"/>
      <c r="Y178" s="53"/>
      <c r="Z178" s="48"/>
    </row>
    <row r="179" spans="1:26" x14ac:dyDescent="0.25">
      <c r="A179" s="53"/>
      <c r="B179" s="98" t="str">
        <f>CONSOLIDADO!N15</f>
        <v>29 COTAS DE FUNDO DE INVESTIMENTO IMOBILIARIO - VBI LOGISTICO ,CÓDIGO DE NEGOCIAÇÃO: LVBI11. PREÇO MÉDIO DE R$ 107,01 E CUSTO TOTAL DE AQUISIÇÃO DE R$ 3103,29</v>
      </c>
      <c r="C179" s="96"/>
      <c r="D179" s="96"/>
      <c r="E179" s="96"/>
      <c r="F179" s="96"/>
      <c r="G179" s="96"/>
      <c r="H179" s="96"/>
      <c r="I179" s="96"/>
      <c r="J179" s="96"/>
      <c r="K179" s="96"/>
      <c r="L179" s="96"/>
      <c r="M179" s="96"/>
      <c r="N179" s="96"/>
      <c r="O179" s="96"/>
      <c r="P179" s="96"/>
      <c r="Q179" s="96"/>
      <c r="R179" s="96"/>
      <c r="S179" s="53"/>
      <c r="T179" s="53"/>
      <c r="U179" s="53"/>
      <c r="V179" s="53"/>
      <c r="W179" s="53"/>
      <c r="X179" s="53"/>
      <c r="Y179" s="53"/>
      <c r="Z179" s="48"/>
    </row>
    <row r="180" spans="1:26" x14ac:dyDescent="0.25">
      <c r="A180" s="53"/>
      <c r="B180" s="98" t="str">
        <f>CONSOLIDADO!N16</f>
        <v>30 COTAS DE ALIANZA TRUST RENDA IMOBILIARIA FII ,CÓDIGO DE NEGOCIAÇÃO: ALZR11. PREÇO MÉDIO DE R$ 110,96 E CUSTO TOTAL DE AQUISIÇÃO DE R$ 3328,8</v>
      </c>
      <c r="C180" s="96"/>
      <c r="D180" s="96"/>
      <c r="E180" s="96"/>
      <c r="F180" s="96"/>
      <c r="G180" s="96"/>
      <c r="H180" s="96"/>
      <c r="I180" s="96"/>
      <c r="J180" s="96"/>
      <c r="K180" s="96"/>
      <c r="L180" s="96"/>
      <c r="M180" s="96"/>
      <c r="N180" s="96"/>
      <c r="O180" s="96"/>
      <c r="P180" s="96"/>
      <c r="Q180" s="96"/>
      <c r="R180" s="96"/>
      <c r="S180" s="53"/>
      <c r="T180" s="53"/>
      <c r="U180" s="53"/>
      <c r="V180" s="53"/>
      <c r="W180" s="53"/>
      <c r="X180" s="53"/>
      <c r="Y180" s="53"/>
      <c r="Z180" s="48"/>
    </row>
    <row r="181" spans="1:26" x14ac:dyDescent="0.25">
      <c r="A181" s="53"/>
      <c r="B181" s="98" t="str">
        <f>CONSOLIDADO!N17</f>
        <v>34 COTAS DE XP LOG FUNDO DE INVESTIMENTO IMOBILIARIO-FII ,CÓDIGO DE NEGOCIAÇÃO: XPLG11. PREÇO MÉDIO DE R$ 112,52 E CUSTO TOTAL DE AQUISIÇÃO DE R$ 3825,68</v>
      </c>
      <c r="C181" s="96"/>
      <c r="D181" s="96"/>
      <c r="E181" s="96"/>
      <c r="F181" s="96"/>
      <c r="G181" s="96"/>
      <c r="H181" s="96"/>
      <c r="I181" s="96"/>
      <c r="J181" s="96"/>
      <c r="K181" s="96"/>
      <c r="L181" s="96"/>
      <c r="M181" s="96"/>
      <c r="N181" s="96"/>
      <c r="O181" s="96"/>
      <c r="P181" s="96"/>
      <c r="Q181" s="96"/>
      <c r="R181" s="96"/>
      <c r="S181" s="53"/>
      <c r="T181" s="53"/>
      <c r="U181" s="53"/>
      <c r="V181" s="53"/>
      <c r="W181" s="53"/>
      <c r="X181" s="53"/>
      <c r="Y181" s="53"/>
      <c r="Z181" s="48"/>
    </row>
    <row r="182" spans="1:26" x14ac:dyDescent="0.25">
      <c r="A182" s="53"/>
      <c r="B182" s="98" t="str">
        <f>CONSOLIDADO!N18</f>
        <v>27 COTAS DE VINCI LOGISTICA FUNDO DE INVESTIMENTO IMOBILIARIO ,CÓDIGO DE NEGOCIAÇÃO: VILG11. PREÇO MÉDIO DE R$ 108,71 E CUSTO TOTAL DE AQUISIÇÃO DE R$ 2935,17</v>
      </c>
      <c r="C182" s="96"/>
      <c r="D182" s="96"/>
      <c r="E182" s="96"/>
      <c r="F182" s="96"/>
      <c r="G182" s="96"/>
      <c r="H182" s="96"/>
      <c r="I182" s="96"/>
      <c r="J182" s="96"/>
      <c r="K182" s="96"/>
      <c r="L182" s="96"/>
      <c r="M182" s="96"/>
      <c r="N182" s="96"/>
      <c r="O182" s="96"/>
      <c r="P182" s="96"/>
      <c r="Q182" s="96"/>
      <c r="R182" s="96"/>
      <c r="S182" s="53"/>
      <c r="T182" s="53"/>
      <c r="U182" s="53"/>
      <c r="V182" s="53"/>
      <c r="W182" s="53"/>
      <c r="X182" s="53"/>
      <c r="Y182" s="53"/>
      <c r="Z182" s="48"/>
    </row>
    <row r="183" spans="1:26" x14ac:dyDescent="0.25">
      <c r="A183" s="53"/>
      <c r="B183" s="98" t="str">
        <f>CONSOLIDADO!N19</f>
        <v>53 COTAS DE FII BTG PACTUAL CORPORATE OFFICE FUND ,CÓDIGO DE NEGOCIAÇÃO: BRCR11. PREÇO MÉDIO DE R$ 74,37 E CUSTO TOTAL DE AQUISIÇÃO DE R$ 3941,61</v>
      </c>
      <c r="C183" s="96"/>
      <c r="D183" s="96"/>
      <c r="E183" s="96"/>
      <c r="F183" s="96"/>
      <c r="G183" s="96"/>
      <c r="H183" s="96"/>
      <c r="I183" s="96"/>
      <c r="J183" s="96"/>
      <c r="K183" s="96"/>
      <c r="L183" s="96"/>
      <c r="M183" s="96"/>
      <c r="N183" s="96"/>
      <c r="O183" s="96"/>
      <c r="P183" s="96"/>
      <c r="Q183" s="96"/>
      <c r="R183" s="96"/>
      <c r="S183" s="53"/>
      <c r="T183" s="53"/>
      <c r="U183" s="53"/>
      <c r="V183" s="53"/>
      <c r="W183" s="53"/>
      <c r="X183" s="53"/>
      <c r="Y183" s="53"/>
      <c r="Z183" s="48"/>
    </row>
    <row r="184" spans="1:26" x14ac:dyDescent="0.25">
      <c r="A184" s="53"/>
      <c r="B184" s="98" t="str">
        <f>CONSOLIDADO!N20</f>
        <v>31 COTAS DE FII RIO BRAVO RENDA VAREJO-FII ,CÓDIGO DE NEGOCIAÇÃO: RBVA11. PREÇO MÉDIO DE R$ 106,6 E CUSTO TOTAL DE AQUISIÇÃO DE R$ 3304,6</v>
      </c>
      <c r="C184" s="96"/>
      <c r="D184" s="96"/>
      <c r="E184" s="96"/>
      <c r="F184" s="96"/>
      <c r="G184" s="96"/>
      <c r="H184" s="96"/>
      <c r="I184" s="96"/>
      <c r="J184" s="96"/>
      <c r="K184" s="96"/>
      <c r="L184" s="96"/>
      <c r="M184" s="96"/>
      <c r="N184" s="96"/>
      <c r="O184" s="96"/>
      <c r="P184" s="96"/>
      <c r="Q184" s="96"/>
      <c r="R184" s="96"/>
      <c r="S184" s="53"/>
      <c r="T184" s="53"/>
      <c r="U184" s="53"/>
      <c r="V184" s="53"/>
      <c r="W184" s="53"/>
      <c r="X184" s="53"/>
      <c r="Y184" s="53"/>
      <c r="Z184" s="48"/>
    </row>
    <row r="185" spans="1:26" x14ac:dyDescent="0.25">
      <c r="A185" s="53"/>
      <c r="B185" s="98" t="str">
        <f>CONSOLIDADO!N21</f>
        <v>25 COTAS DE BTG PACTUAL LOGISTICA FI IMOBILIARIO ,CÓDIGO DE NEGOCIAÇÃO: BTLG11. PREÇO MÉDIO DE R$ 108,34 E CUSTO TOTAL DE AQUISIÇÃO DE R$ 2708,5</v>
      </c>
      <c r="C185" s="96"/>
      <c r="D185" s="96"/>
      <c r="E185" s="96"/>
      <c r="F185" s="96"/>
      <c r="G185" s="96"/>
      <c r="H185" s="96"/>
      <c r="I185" s="96"/>
      <c r="J185" s="96"/>
      <c r="K185" s="96"/>
      <c r="L185" s="96"/>
      <c r="M185" s="96"/>
      <c r="N185" s="96"/>
      <c r="O185" s="96"/>
      <c r="P185" s="96"/>
      <c r="Q185" s="96"/>
      <c r="R185" s="96"/>
      <c r="S185" s="53"/>
      <c r="T185" s="53"/>
      <c r="U185" s="53"/>
      <c r="V185" s="53"/>
      <c r="W185" s="53"/>
      <c r="X185" s="53"/>
      <c r="Y185" s="53"/>
      <c r="Z185" s="48"/>
    </row>
    <row r="186" spans="1:26" x14ac:dyDescent="0.25">
      <c r="A186" s="53"/>
      <c r="B186" s="98" t="str">
        <f>CONSOLIDADO!N22</f>
        <v>25 COTAS DE FI IMOBILIARIO IRIDIUM RECEBIVEIS IMOBILIARIOS ,CÓDIGO DE NEGOCIAÇÃO: IRDM11. PREÇO MÉDIO DE R$ 108,36 E CUSTO TOTAL DE AQUISIÇÃO DE R$ 2709</v>
      </c>
      <c r="C186" s="96"/>
      <c r="D186" s="96"/>
      <c r="E186" s="96"/>
      <c r="F186" s="96"/>
      <c r="G186" s="96"/>
      <c r="H186" s="96"/>
      <c r="I186" s="96"/>
      <c r="J186" s="96"/>
      <c r="K186" s="96"/>
      <c r="L186" s="96"/>
      <c r="M186" s="96"/>
      <c r="N186" s="96"/>
      <c r="O186" s="96"/>
      <c r="P186" s="96"/>
      <c r="Q186" s="96"/>
      <c r="R186" s="96"/>
      <c r="S186" s="53"/>
      <c r="T186" s="53"/>
      <c r="U186" s="53"/>
      <c r="V186" s="53"/>
      <c r="W186" s="53"/>
      <c r="X186" s="53"/>
      <c r="Y186" s="53"/>
      <c r="Z186" s="48"/>
    </row>
    <row r="187" spans="1:26" x14ac:dyDescent="0.25">
      <c r="A187" s="53"/>
      <c r="B187" s="98" t="str">
        <f>CONSOLIDADO!N23</f>
        <v>35 COTAS DE HECTARE CE - FI IMOBILIARIO ,CÓDIGO DE NEGOCIAÇÃO: HCTR11. PREÇO MÉDIO DE R$ 126,42 E CUSTO TOTAL DE AQUISIÇÃO DE R$ 4424,7</v>
      </c>
      <c r="C187" s="96"/>
      <c r="D187" s="96"/>
      <c r="E187" s="96"/>
      <c r="F187" s="96"/>
      <c r="G187" s="96"/>
      <c r="H187" s="96"/>
      <c r="I187" s="96"/>
      <c r="J187" s="96"/>
      <c r="K187" s="96"/>
      <c r="L187" s="96"/>
      <c r="M187" s="96"/>
      <c r="N187" s="96"/>
      <c r="O187" s="96"/>
      <c r="P187" s="96"/>
      <c r="Q187" s="96"/>
      <c r="R187" s="96"/>
      <c r="S187" s="53"/>
      <c r="T187" s="53"/>
      <c r="U187" s="53"/>
      <c r="V187" s="53"/>
      <c r="W187" s="53"/>
      <c r="X187" s="53"/>
      <c r="Y187" s="53"/>
      <c r="Z187" s="48"/>
    </row>
    <row r="188" spans="1:26" x14ac:dyDescent="0.25">
      <c r="A188" s="53"/>
      <c r="B188" s="98" t="str">
        <f>CONSOLIDADO!N24</f>
        <v>110 COTAS DE BANCO DO BRASIL SA ,CÓDIGO DE NEGOCIAÇÃO: BBAS3. PREÇO MÉDIO DE R$ 30,71 E CUSTO TOTAL DE AQUISIÇÃO DE R$ 3378,1</v>
      </c>
      <c r="C188" s="96"/>
      <c r="D188" s="96"/>
      <c r="E188" s="96"/>
      <c r="F188" s="96"/>
      <c r="G188" s="96"/>
      <c r="H188" s="96"/>
      <c r="I188" s="96"/>
      <c r="J188" s="96"/>
      <c r="K188" s="96"/>
      <c r="L188" s="96"/>
      <c r="M188" s="96"/>
      <c r="N188" s="96"/>
      <c r="O188" s="96"/>
      <c r="P188" s="96"/>
      <c r="Q188" s="96"/>
      <c r="R188" s="96"/>
      <c r="S188" s="53"/>
      <c r="T188" s="53"/>
      <c r="U188" s="53"/>
      <c r="V188" s="53"/>
      <c r="W188" s="53"/>
      <c r="X188" s="53"/>
      <c r="Y188" s="53"/>
      <c r="Z188" s="48"/>
    </row>
    <row r="189" spans="1:26" x14ac:dyDescent="0.25">
      <c r="A189" s="53"/>
      <c r="B189" s="98" t="str">
        <f>CONSOLIDADO!N25</f>
        <v>285 COTAS DE B3 SA BRASIL BOLSA BALCAO ,CÓDIGO DE NEGOCIAÇÃO: B3SA3. PREÇO MÉDIO DE R$ 12,78 E CUSTO TOTAL DE AQUISIÇÃO DE R$ 3642,3</v>
      </c>
      <c r="C189" s="96"/>
      <c r="D189" s="96"/>
      <c r="E189" s="96"/>
      <c r="F189" s="96"/>
      <c r="G189" s="96"/>
      <c r="H189" s="96"/>
      <c r="I189" s="96"/>
      <c r="J189" s="96"/>
      <c r="K189" s="96"/>
      <c r="L189" s="96"/>
      <c r="M189" s="96"/>
      <c r="N189" s="96"/>
      <c r="O189" s="96"/>
      <c r="P189" s="96"/>
      <c r="Q189" s="96"/>
      <c r="R189" s="96"/>
      <c r="S189" s="53"/>
      <c r="T189" s="53"/>
      <c r="U189" s="53"/>
      <c r="V189" s="53"/>
      <c r="W189" s="53"/>
      <c r="X189" s="53"/>
      <c r="Y189" s="53"/>
      <c r="Z189" s="48"/>
    </row>
    <row r="190" spans="1:26" x14ac:dyDescent="0.25">
      <c r="A190" s="53"/>
      <c r="B190" s="98" t="str">
        <f>CONSOLIDADO!N26</f>
        <v>266 COTAS DE TRANSMISSORA ALIANCA ENERGIA ELETRICA SA PREFERENCE SHARES ,CÓDIGO DE NEGOCIAÇÃO: TAEE4. PREÇO MÉDIO DE R$ 11,62 E CUSTO TOTAL DE AQUISIÇÃO DE R$ 3090,92</v>
      </c>
      <c r="C190" s="96"/>
      <c r="D190" s="96"/>
      <c r="E190" s="96"/>
      <c r="F190" s="96"/>
      <c r="G190" s="96"/>
      <c r="H190" s="96"/>
      <c r="I190" s="96"/>
      <c r="J190" s="96"/>
      <c r="K190" s="96"/>
      <c r="L190" s="96"/>
      <c r="M190" s="96"/>
      <c r="N190" s="96"/>
      <c r="O190" s="96"/>
      <c r="P190" s="96"/>
      <c r="Q190" s="96"/>
      <c r="R190" s="96"/>
      <c r="S190" s="53"/>
      <c r="T190" s="53"/>
      <c r="U190" s="53"/>
      <c r="V190" s="53"/>
      <c r="W190" s="53"/>
      <c r="X190" s="53"/>
      <c r="Y190" s="53"/>
      <c r="Z190" s="48"/>
    </row>
    <row r="191" spans="1:26" x14ac:dyDescent="0.25">
      <c r="A191" s="53"/>
      <c r="B191" s="98" t="str">
        <f>CONSOLIDADO!N27</f>
        <v>245 COTAS DE BANCO SANTANDER BRASIL SA PREFERENCE SHARES ,CÓDIGO DE NEGOCIAÇÃO: SANB4. PREÇO MÉDIO DE R$ 18,01 E CUSTO TOTAL DE AQUISIÇÃO DE R$ 4412,45</v>
      </c>
      <c r="C191" s="96"/>
      <c r="D191" s="96"/>
      <c r="E191" s="96"/>
      <c r="F191" s="96"/>
      <c r="G191" s="96"/>
      <c r="H191" s="96"/>
      <c r="I191" s="96"/>
      <c r="J191" s="96"/>
      <c r="K191" s="96"/>
      <c r="L191" s="96"/>
      <c r="M191" s="96"/>
      <c r="N191" s="96"/>
      <c r="O191" s="96"/>
      <c r="P191" s="96"/>
      <c r="Q191" s="96"/>
      <c r="R191" s="96"/>
      <c r="S191" s="53"/>
      <c r="T191" s="53"/>
      <c r="U191" s="53"/>
      <c r="V191" s="53"/>
      <c r="W191" s="53"/>
      <c r="X191" s="53"/>
      <c r="Y191" s="53"/>
      <c r="Z191" s="48"/>
    </row>
    <row r="192" spans="1:26" x14ac:dyDescent="0.25">
      <c r="A192" s="53"/>
      <c r="B192" s="98" t="str">
        <f>CONSOLIDADO!N28</f>
        <v>155 COTAS DE CTEEP CIA TRANSM ENERGIA ELETR PAULISTA PREFERENCE SHARES ,CÓDIGO DE NEGOCIAÇÃO: TRPL4. PREÇO MÉDIO DE R$ 22,62 E CUSTO TOTAL DE AQUISIÇÃO DE R$ 3506,1</v>
      </c>
      <c r="C192" s="96"/>
      <c r="D192" s="96"/>
      <c r="E192" s="96"/>
      <c r="F192" s="96"/>
      <c r="G192" s="96"/>
      <c r="H192" s="96"/>
      <c r="I192" s="96"/>
      <c r="J192" s="96"/>
      <c r="K192" s="96"/>
      <c r="L192" s="96"/>
      <c r="M192" s="96"/>
      <c r="N192" s="96"/>
      <c r="O192" s="96"/>
      <c r="P192" s="96"/>
      <c r="Q192" s="96"/>
      <c r="R192" s="96"/>
      <c r="S192" s="53"/>
      <c r="T192" s="53"/>
      <c r="U192" s="53"/>
      <c r="V192" s="53"/>
      <c r="W192" s="53"/>
      <c r="X192" s="53"/>
      <c r="Y192" s="53"/>
      <c r="Z192" s="48"/>
    </row>
    <row r="193" spans="1:26" x14ac:dyDescent="0.25">
      <c r="A193" s="53"/>
      <c r="B193" s="98" t="str">
        <f>CONSOLIDADO!N29</f>
        <v>110 COTAS DE ENERGY OF MINAS GERAIS CO ,CÓDIGO DE NEGOCIAÇÃO: CMIG3. PREÇO MÉDIO DE R$ 15,45 E CUSTO TOTAL DE AQUISIÇÃO DE R$ 1699,5</v>
      </c>
      <c r="C193" s="96"/>
      <c r="D193" s="96"/>
      <c r="E193" s="96"/>
      <c r="F193" s="96"/>
      <c r="G193" s="96"/>
      <c r="H193" s="96"/>
      <c r="I193" s="96"/>
      <c r="J193" s="96"/>
      <c r="K193" s="96"/>
      <c r="L193" s="96"/>
      <c r="M193" s="96"/>
      <c r="N193" s="96"/>
      <c r="O193" s="96"/>
      <c r="P193" s="96"/>
      <c r="Q193" s="96"/>
      <c r="R193" s="96"/>
      <c r="S193" s="53"/>
      <c r="T193" s="53"/>
      <c r="U193" s="53"/>
      <c r="V193" s="53"/>
      <c r="W193" s="53"/>
      <c r="X193" s="53"/>
      <c r="Y193" s="53"/>
      <c r="Z193" s="48"/>
    </row>
    <row r="194" spans="1:26" x14ac:dyDescent="0.25">
      <c r="A194" s="53"/>
      <c r="B194" s="98" t="str">
        <f>CONSOLIDADO!N30</f>
        <v>800 COTAS DE COMPANHIA DE SANEAMENTO PARANA SANEPAR ,CÓDIGO DE NEGOCIAÇÃO: SAPR3. PREÇO MÉDIO DE R$ 4,11 E CUSTO TOTAL DE AQUISIÇÃO DE R$ 3288</v>
      </c>
      <c r="C194" s="96"/>
      <c r="D194" s="96"/>
      <c r="E194" s="96"/>
      <c r="F194" s="96"/>
      <c r="G194" s="96"/>
      <c r="H194" s="96"/>
      <c r="I194" s="96"/>
      <c r="J194" s="96"/>
      <c r="K194" s="96"/>
      <c r="L194" s="96"/>
      <c r="M194" s="96"/>
      <c r="N194" s="96"/>
      <c r="O194" s="96"/>
      <c r="P194" s="96"/>
      <c r="Q194" s="96"/>
      <c r="R194" s="96"/>
      <c r="S194" s="53"/>
      <c r="T194" s="53"/>
      <c r="U194" s="53"/>
      <c r="V194" s="53"/>
      <c r="W194" s="53"/>
      <c r="X194" s="53"/>
      <c r="Y194" s="53"/>
      <c r="Z194" s="48"/>
    </row>
    <row r="195" spans="1:26" x14ac:dyDescent="0.25">
      <c r="A195" s="53"/>
      <c r="B195" s="97"/>
      <c r="C195" s="95"/>
      <c r="D195" s="95"/>
      <c r="E195" s="95"/>
      <c r="F195" s="95"/>
      <c r="G195" s="95"/>
      <c r="H195" s="95"/>
      <c r="I195" s="95"/>
      <c r="J195" s="95"/>
      <c r="K195" s="95"/>
      <c r="L195" s="95"/>
      <c r="M195" s="95"/>
      <c r="N195" s="95"/>
      <c r="O195" s="95"/>
      <c r="P195" s="95"/>
      <c r="Q195" s="95"/>
      <c r="R195" s="95"/>
      <c r="S195" s="53"/>
      <c r="T195" s="53"/>
      <c r="U195" s="53"/>
      <c r="V195" s="53"/>
      <c r="W195" s="53"/>
      <c r="X195" s="53"/>
      <c r="Y195" s="53"/>
      <c r="Z195" s="48"/>
    </row>
    <row r="196" spans="1:26" x14ac:dyDescent="0.25">
      <c r="A196" s="53"/>
      <c r="B196" s="95"/>
      <c r="C196" s="95"/>
      <c r="D196" s="95"/>
      <c r="E196" s="95"/>
      <c r="F196" s="95"/>
      <c r="G196" s="95"/>
      <c r="H196" s="95"/>
      <c r="I196" s="95"/>
      <c r="J196" s="95"/>
      <c r="K196" s="95"/>
      <c r="L196" s="95"/>
      <c r="M196" s="95"/>
      <c r="N196" s="95"/>
      <c r="O196" s="95"/>
      <c r="P196" s="95"/>
      <c r="Q196" s="95"/>
      <c r="R196" s="95"/>
      <c r="S196" s="53"/>
      <c r="T196" s="53"/>
      <c r="U196" s="53"/>
      <c r="V196" s="53"/>
      <c r="W196" s="53"/>
      <c r="X196" s="53"/>
      <c r="Y196" s="53"/>
      <c r="Z196" s="48"/>
    </row>
    <row r="197" spans="1:26" x14ac:dyDescent="0.25">
      <c r="A197" s="53"/>
      <c r="B197" s="53"/>
      <c r="C197" s="53"/>
      <c r="D197" s="53"/>
      <c r="E197" s="53"/>
      <c r="F197" s="53"/>
      <c r="G197" s="53"/>
      <c r="H197" s="53"/>
      <c r="I197" s="53"/>
      <c r="J197" s="53"/>
      <c r="K197" s="53"/>
      <c r="L197" s="53"/>
      <c r="M197" s="53"/>
      <c r="N197" s="53"/>
      <c r="O197" s="53"/>
      <c r="P197" s="53"/>
      <c r="Q197" s="53"/>
      <c r="R197" s="53"/>
      <c r="S197" s="53"/>
      <c r="T197" s="53"/>
      <c r="U197" s="53"/>
      <c r="V197" s="53"/>
      <c r="W197" s="53"/>
      <c r="X197" s="53"/>
      <c r="Y197" s="53"/>
      <c r="Z197" s="48"/>
    </row>
    <row r="198" spans="1:26" x14ac:dyDescent="0.25">
      <c r="A198" s="53"/>
      <c r="B198" s="53"/>
      <c r="C198" s="53"/>
      <c r="D198" s="53"/>
      <c r="E198" s="53"/>
      <c r="F198" s="53"/>
      <c r="G198" s="53"/>
      <c r="H198" s="53"/>
      <c r="I198" s="53"/>
      <c r="J198" s="53"/>
      <c r="K198" s="53"/>
      <c r="L198" s="53"/>
      <c r="M198" s="53"/>
      <c r="N198" s="53"/>
      <c r="O198" s="53"/>
      <c r="P198" s="53"/>
      <c r="Q198" s="53"/>
      <c r="R198" s="53"/>
      <c r="S198" s="53"/>
      <c r="T198" s="53"/>
      <c r="U198" s="53"/>
      <c r="V198" s="53"/>
      <c r="W198" s="53"/>
      <c r="X198" s="53"/>
      <c r="Y198" s="53"/>
      <c r="Z198" s="48"/>
    </row>
    <row r="199" spans="1:26" x14ac:dyDescent="0.25">
      <c r="A199" s="53"/>
      <c r="B199" s="53"/>
      <c r="C199" s="53"/>
      <c r="D199" s="53"/>
      <c r="E199" s="53"/>
      <c r="F199" s="53"/>
      <c r="G199" s="53"/>
      <c r="H199" s="53"/>
      <c r="I199" s="53"/>
      <c r="J199" s="53"/>
      <c r="K199" s="53"/>
      <c r="L199" s="53"/>
      <c r="M199" s="53"/>
      <c r="N199" s="53"/>
      <c r="O199" s="53"/>
      <c r="P199" s="53"/>
      <c r="Q199" s="53"/>
      <c r="R199" s="53"/>
      <c r="S199" s="53"/>
      <c r="T199" s="53"/>
      <c r="U199" s="53"/>
      <c r="V199" s="53"/>
      <c r="W199" s="53"/>
      <c r="X199" s="53"/>
      <c r="Y199" s="53"/>
      <c r="Z199" s="48"/>
    </row>
    <row r="200" spans="1:26" x14ac:dyDescent="0.25">
      <c r="A200" s="53"/>
      <c r="B200" s="53"/>
      <c r="C200" s="53"/>
      <c r="D200" s="53"/>
      <c r="E200" s="53"/>
      <c r="F200" s="53"/>
      <c r="G200" s="53"/>
      <c r="H200" s="53"/>
      <c r="I200" s="53"/>
      <c r="J200" s="53"/>
      <c r="K200" s="53"/>
      <c r="L200" s="53"/>
      <c r="M200" s="53"/>
      <c r="N200" s="53"/>
      <c r="O200" s="53"/>
      <c r="P200" s="53"/>
      <c r="Q200" s="53"/>
      <c r="R200" s="53"/>
      <c r="S200" s="53"/>
      <c r="T200" s="53"/>
      <c r="U200" s="53"/>
      <c r="V200" s="53"/>
      <c r="W200" s="53"/>
      <c r="X200" s="53"/>
      <c r="Y200" s="53"/>
      <c r="Z200" s="48"/>
    </row>
    <row r="201" spans="1:26" x14ac:dyDescent="0.25">
      <c r="A201" s="53"/>
      <c r="B201" s="53"/>
      <c r="C201" s="53"/>
      <c r="D201" s="53"/>
      <c r="E201" s="53"/>
      <c r="F201" s="53"/>
      <c r="G201" s="53"/>
      <c r="H201" s="53"/>
      <c r="I201" s="53"/>
      <c r="J201" s="53"/>
      <c r="K201" s="53"/>
      <c r="L201" s="53"/>
      <c r="M201" s="53"/>
      <c r="N201" s="53"/>
      <c r="O201" s="53"/>
      <c r="P201" s="53"/>
      <c r="Q201" s="53"/>
      <c r="R201" s="53"/>
      <c r="S201" s="53"/>
      <c r="T201" s="53"/>
      <c r="U201" s="53"/>
      <c r="V201" s="53"/>
      <c r="W201" s="53"/>
      <c r="X201" s="53"/>
      <c r="Y201" s="53"/>
      <c r="Z201" s="48"/>
    </row>
    <row r="202" spans="1:26" x14ac:dyDescent="0.25">
      <c r="A202" s="53"/>
      <c r="B202" s="53"/>
      <c r="C202" s="53"/>
      <c r="D202" s="53"/>
      <c r="E202" s="53"/>
      <c r="F202" s="53"/>
      <c r="G202" s="53"/>
      <c r="H202" s="53"/>
      <c r="I202" s="53"/>
      <c r="J202" s="53"/>
      <c r="K202" s="53"/>
      <c r="L202" s="53"/>
      <c r="M202" s="53"/>
      <c r="N202" s="53"/>
      <c r="O202" s="53"/>
      <c r="P202" s="53"/>
      <c r="Q202" s="53"/>
      <c r="R202" s="53"/>
      <c r="S202" s="53"/>
      <c r="T202" s="53"/>
      <c r="U202" s="53"/>
      <c r="V202" s="53"/>
      <c r="W202" s="53"/>
      <c r="X202" s="53"/>
      <c r="Y202" s="53"/>
      <c r="Z202" s="48"/>
    </row>
    <row r="203" spans="1:26" x14ac:dyDescent="0.25">
      <c r="B203" s="52"/>
      <c r="C203" s="52"/>
      <c r="D203" s="52"/>
      <c r="E203" s="52"/>
      <c r="F203" s="52"/>
      <c r="G203" s="52"/>
      <c r="H203" s="52"/>
      <c r="I203" s="52"/>
      <c r="J203" s="52"/>
      <c r="K203" s="52"/>
      <c r="L203" s="52"/>
      <c r="M203" s="52"/>
      <c r="N203" s="52"/>
      <c r="O203" s="52"/>
      <c r="P203" s="52"/>
      <c r="Q203" s="52"/>
      <c r="R203" s="52"/>
      <c r="S203" s="52"/>
      <c r="T203" s="52"/>
      <c r="U203" s="53"/>
      <c r="V203" s="53"/>
      <c r="W203" s="53"/>
      <c r="X203" s="53"/>
      <c r="Y203" s="53"/>
      <c r="Z203" s="48"/>
    </row>
    <row r="204" spans="1:26" x14ac:dyDescent="0.25">
      <c r="B204" s="52"/>
      <c r="C204" s="52"/>
      <c r="D204" s="52"/>
      <c r="E204" s="52"/>
      <c r="F204" s="52"/>
      <c r="G204" s="52"/>
      <c r="H204" s="52"/>
      <c r="I204" s="52"/>
      <c r="J204" s="52"/>
      <c r="K204" s="52"/>
      <c r="L204" s="52"/>
      <c r="M204" s="52"/>
      <c r="N204" s="52"/>
      <c r="O204" s="52"/>
      <c r="P204" s="52"/>
      <c r="Q204" s="52"/>
      <c r="R204" s="52"/>
      <c r="S204" s="52"/>
      <c r="T204" s="52"/>
      <c r="U204" s="52"/>
      <c r="V204" s="52"/>
      <c r="W204" s="52"/>
      <c r="X204" s="52"/>
      <c r="Y204" s="48"/>
      <c r="Z204" s="48"/>
    </row>
    <row r="205" spans="1:26" x14ac:dyDescent="0.25">
      <c r="B205" s="52"/>
      <c r="C205" s="52"/>
      <c r="D205" s="52"/>
      <c r="E205" s="52"/>
      <c r="F205" s="52"/>
      <c r="G205" s="52"/>
      <c r="H205" s="52"/>
      <c r="I205" s="52"/>
      <c r="J205" s="52"/>
      <c r="K205" s="52"/>
      <c r="L205" s="52"/>
      <c r="M205" s="52"/>
      <c r="N205" s="52"/>
      <c r="O205" s="52"/>
      <c r="P205" s="52"/>
      <c r="Q205" s="52"/>
      <c r="R205" s="52"/>
      <c r="S205" s="52"/>
      <c r="T205" s="52"/>
      <c r="U205" s="52"/>
      <c r="V205" s="52"/>
      <c r="W205" s="52"/>
      <c r="X205" s="52"/>
      <c r="Y205" s="48"/>
      <c r="Z205" s="48"/>
    </row>
    <row r="206" spans="1:26" x14ac:dyDescent="0.25">
      <c r="B206" s="52"/>
      <c r="C206" s="52"/>
      <c r="D206" s="52"/>
      <c r="E206" s="52"/>
      <c r="F206" s="52"/>
      <c r="G206" s="52"/>
      <c r="H206" s="52"/>
      <c r="I206" s="52"/>
      <c r="J206" s="52"/>
      <c r="K206" s="52"/>
      <c r="L206" s="52"/>
      <c r="M206" s="52"/>
      <c r="N206" s="52"/>
      <c r="O206" s="52"/>
      <c r="P206" s="52"/>
      <c r="Q206" s="52"/>
      <c r="R206" s="52"/>
      <c r="S206" s="52"/>
      <c r="T206" s="52"/>
      <c r="U206" s="52"/>
      <c r="V206" s="52"/>
      <c r="W206" s="52"/>
      <c r="X206" s="52"/>
      <c r="Y206" s="48"/>
      <c r="Z206" s="48"/>
    </row>
    <row r="207" spans="1:26" x14ac:dyDescent="0.25">
      <c r="B207" s="52"/>
      <c r="C207" s="52"/>
      <c r="D207" s="52"/>
      <c r="E207" s="52"/>
      <c r="F207" s="52"/>
      <c r="G207" s="52"/>
      <c r="H207" s="52"/>
      <c r="I207" s="52"/>
      <c r="J207" s="52"/>
      <c r="K207" s="52"/>
      <c r="L207" s="52"/>
      <c r="M207" s="52"/>
      <c r="N207" s="52"/>
      <c r="O207" s="52"/>
      <c r="P207" s="52"/>
      <c r="Q207" s="52"/>
      <c r="R207" s="52"/>
      <c r="S207" s="52"/>
      <c r="T207" s="52"/>
      <c r="U207" s="52"/>
      <c r="V207" s="52"/>
      <c r="W207" s="52"/>
      <c r="X207" s="52"/>
      <c r="Y207" s="48"/>
      <c r="Z207" s="48"/>
    </row>
    <row r="208" spans="1:26" x14ac:dyDescent="0.25">
      <c r="B208" s="52"/>
      <c r="C208" s="52"/>
      <c r="D208" s="52"/>
      <c r="E208" s="52"/>
      <c r="F208" s="52"/>
      <c r="G208" s="52"/>
      <c r="H208" s="52"/>
      <c r="I208" s="52"/>
      <c r="J208" s="52"/>
      <c r="K208" s="52"/>
      <c r="L208" s="52"/>
      <c r="M208" s="52"/>
      <c r="N208" s="52"/>
      <c r="O208" s="52"/>
      <c r="P208" s="52"/>
      <c r="Q208" s="52"/>
      <c r="R208" s="52"/>
      <c r="S208" s="52"/>
      <c r="T208" s="52"/>
      <c r="U208" s="52"/>
      <c r="V208" s="52"/>
      <c r="W208" s="52"/>
      <c r="X208" s="52"/>
      <c r="Y208" s="48"/>
      <c r="Z208" s="48"/>
    </row>
    <row r="209" spans="2:26" x14ac:dyDescent="0.25">
      <c r="B209" s="48"/>
      <c r="C209" s="48"/>
      <c r="D209" s="48"/>
      <c r="E209" s="48"/>
      <c r="F209" s="48"/>
      <c r="G209" s="48"/>
      <c r="H209" s="48"/>
      <c r="I209" s="48"/>
      <c r="J209" s="48"/>
      <c r="K209" s="48"/>
      <c r="L209" s="48"/>
      <c r="M209" s="48"/>
      <c r="N209" s="48"/>
      <c r="O209" s="48"/>
      <c r="P209" s="48"/>
      <c r="Q209" s="48"/>
      <c r="R209" s="48"/>
      <c r="S209" s="48"/>
      <c r="T209" s="48"/>
      <c r="U209" s="48"/>
      <c r="V209" s="48"/>
      <c r="W209" s="48"/>
      <c r="X209" s="48"/>
      <c r="Y209" s="48"/>
      <c r="Z209" s="48"/>
    </row>
    <row r="210" spans="2:26" x14ac:dyDescent="0.25">
      <c r="B210" s="48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</row>
    <row r="211" spans="2:26" x14ac:dyDescent="0.25">
      <c r="B211" s="48"/>
      <c r="C211" s="48"/>
      <c r="D211" s="48"/>
      <c r="E211" s="48"/>
      <c r="F211" s="48"/>
      <c r="G211" s="48"/>
      <c r="H211" s="48"/>
      <c r="I211" s="48"/>
      <c r="J211" s="48"/>
      <c r="K211" s="48"/>
      <c r="L211" s="48"/>
      <c r="M211" s="48"/>
      <c r="N211" s="48"/>
      <c r="O211" s="48"/>
      <c r="P211" s="48"/>
      <c r="Q211" s="48"/>
      <c r="R211" s="48"/>
      <c r="S211" s="48"/>
      <c r="T211" s="48"/>
      <c r="U211" s="48"/>
      <c r="V211" s="48"/>
      <c r="W211" s="48"/>
      <c r="X211" s="48"/>
      <c r="Y211" s="48"/>
      <c r="Z211" s="48"/>
    </row>
    <row r="212" spans="2:26" x14ac:dyDescent="0.25">
      <c r="B212" s="48"/>
      <c r="C212" s="48"/>
      <c r="D212" s="48"/>
      <c r="E212" s="48"/>
      <c r="F212" s="48"/>
      <c r="G212" s="48"/>
      <c r="H212" s="48"/>
      <c r="I212" s="48"/>
      <c r="J212" s="48"/>
      <c r="K212" s="48"/>
      <c r="L212" s="48"/>
      <c r="M212" s="48"/>
      <c r="N212" s="48"/>
      <c r="O212" s="48"/>
      <c r="P212" s="48"/>
      <c r="Q212" s="48"/>
      <c r="R212" s="48"/>
      <c r="S212" s="48"/>
      <c r="T212" s="48"/>
      <c r="U212" s="48"/>
      <c r="V212" s="48"/>
      <c r="W212" s="48"/>
      <c r="X212" s="48"/>
      <c r="Y212" s="48"/>
      <c r="Z212" s="48"/>
    </row>
    <row r="213" spans="2:26" x14ac:dyDescent="0.25">
      <c r="B213" s="48"/>
      <c r="C213" s="48"/>
      <c r="D213" s="48"/>
      <c r="E213" s="48"/>
      <c r="F213" s="48"/>
      <c r="G213" s="48"/>
      <c r="H213" s="48"/>
      <c r="I213" s="48"/>
      <c r="J213" s="48"/>
      <c r="K213" s="48"/>
      <c r="L213" s="48"/>
      <c r="M213" s="48"/>
      <c r="N213" s="48"/>
      <c r="O213" s="48"/>
      <c r="P213" s="48"/>
      <c r="Q213" s="48"/>
      <c r="R213" s="48"/>
      <c r="S213" s="48"/>
      <c r="T213" s="48"/>
      <c r="U213" s="48"/>
      <c r="V213" s="48"/>
      <c r="W213" s="48"/>
      <c r="X213" s="48"/>
      <c r="Y213" s="48"/>
      <c r="Z213" s="48"/>
    </row>
    <row r="214" spans="2:26" x14ac:dyDescent="0.25">
      <c r="B214" s="48"/>
      <c r="C214" s="48"/>
      <c r="D214" s="48"/>
      <c r="E214" s="48"/>
      <c r="F214" s="48"/>
      <c r="G214" s="48"/>
      <c r="H214" s="48"/>
      <c r="I214" s="48"/>
      <c r="J214" s="48"/>
      <c r="K214" s="48"/>
      <c r="L214" s="48"/>
      <c r="M214" s="48"/>
      <c r="N214" s="48"/>
      <c r="O214" s="48"/>
      <c r="P214" s="48"/>
      <c r="Q214" s="48"/>
      <c r="R214" s="48"/>
      <c r="S214" s="48"/>
      <c r="T214" s="48"/>
      <c r="U214" s="48"/>
      <c r="V214" s="48"/>
      <c r="W214" s="48"/>
      <c r="X214" s="48"/>
      <c r="Y214" s="48"/>
      <c r="Z214" s="48"/>
    </row>
    <row r="215" spans="2:26" x14ac:dyDescent="0.25">
      <c r="B215" s="48"/>
      <c r="C215" s="48"/>
      <c r="D215" s="48"/>
      <c r="E215" s="48"/>
      <c r="F215" s="48"/>
      <c r="G215" s="48"/>
      <c r="H215" s="48"/>
      <c r="I215" s="48"/>
      <c r="J215" s="48"/>
      <c r="K215" s="48"/>
      <c r="L215" s="48"/>
      <c r="M215" s="48"/>
      <c r="N215" s="48"/>
      <c r="O215" s="48"/>
      <c r="P215" s="48"/>
      <c r="Q215" s="48"/>
      <c r="R215" s="48"/>
      <c r="S215" s="48"/>
      <c r="T215" s="48"/>
      <c r="U215" s="48"/>
      <c r="V215" s="48"/>
      <c r="W215" s="48"/>
      <c r="X215" s="48"/>
      <c r="Y215" s="48"/>
      <c r="Z215" s="48"/>
    </row>
    <row r="216" spans="2:26" x14ac:dyDescent="0.25">
      <c r="B216" s="48"/>
      <c r="C216" s="48"/>
      <c r="D216" s="48"/>
      <c r="E216" s="48"/>
      <c r="F216" s="48"/>
      <c r="G216" s="48"/>
      <c r="H216" s="48"/>
      <c r="I216" s="48"/>
      <c r="J216" s="48"/>
      <c r="K216" s="48"/>
      <c r="L216" s="48"/>
      <c r="M216" s="48"/>
      <c r="N216" s="48"/>
      <c r="O216" s="48"/>
      <c r="P216" s="48"/>
      <c r="Q216" s="48"/>
      <c r="R216" s="48"/>
      <c r="S216" s="48"/>
      <c r="T216" s="48"/>
      <c r="U216" s="48"/>
      <c r="V216" s="48"/>
      <c r="W216" s="48"/>
      <c r="X216" s="48"/>
      <c r="Y216" s="48"/>
      <c r="Z216" s="48"/>
    </row>
    <row r="217" spans="2:26" x14ac:dyDescent="0.25">
      <c r="B217" s="48"/>
      <c r="C217" s="48"/>
      <c r="D217" s="48"/>
      <c r="E217" s="48"/>
      <c r="F217" s="48"/>
      <c r="G217" s="48"/>
      <c r="H217" s="48"/>
      <c r="I217" s="48"/>
      <c r="J217" s="48"/>
      <c r="K217" s="48"/>
      <c r="L217" s="48"/>
      <c r="M217" s="48"/>
      <c r="N217" s="48"/>
      <c r="O217" s="48"/>
      <c r="P217" s="48"/>
      <c r="Q217" s="48"/>
      <c r="R217" s="48"/>
      <c r="S217" s="48"/>
      <c r="T217" s="48"/>
      <c r="U217" s="48"/>
      <c r="V217" s="48"/>
      <c r="W217" s="48"/>
      <c r="X217" s="48"/>
      <c r="Y217" s="48"/>
      <c r="Z217" s="48"/>
    </row>
    <row r="218" spans="2:26" x14ac:dyDescent="0.25">
      <c r="B218" s="48"/>
      <c r="C218" s="48"/>
      <c r="D218" s="48"/>
      <c r="E218" s="48"/>
      <c r="F218" s="48"/>
      <c r="G218" s="48"/>
      <c r="H218" s="48"/>
      <c r="I218" s="48"/>
      <c r="J218" s="48"/>
      <c r="K218" s="48"/>
      <c r="L218" s="48"/>
      <c r="M218" s="48"/>
      <c r="N218" s="48"/>
      <c r="O218" s="48"/>
      <c r="P218" s="48"/>
      <c r="Q218" s="48"/>
      <c r="R218" s="48"/>
      <c r="S218" s="48"/>
      <c r="T218" s="48"/>
      <c r="U218" s="48"/>
      <c r="V218" s="48"/>
      <c r="W218" s="48"/>
      <c r="X218" s="48"/>
      <c r="Y218" s="48"/>
      <c r="Z218" s="48"/>
    </row>
    <row r="219" spans="2:26" x14ac:dyDescent="0.25">
      <c r="B219" s="48"/>
      <c r="C219" s="48"/>
      <c r="D219" s="48"/>
      <c r="E219" s="48"/>
      <c r="F219" s="48"/>
      <c r="G219" s="48"/>
      <c r="H219" s="48"/>
      <c r="I219" s="48"/>
      <c r="J219" s="48"/>
      <c r="K219" s="48"/>
      <c r="L219" s="48"/>
      <c r="M219" s="48"/>
      <c r="N219" s="48"/>
      <c r="O219" s="48"/>
      <c r="P219" s="48"/>
      <c r="Q219" s="48"/>
      <c r="R219" s="48"/>
      <c r="S219" s="48"/>
      <c r="T219" s="48"/>
      <c r="U219" s="48"/>
      <c r="V219" s="48"/>
      <c r="W219" s="48"/>
      <c r="X219" s="48"/>
      <c r="Y219" s="48"/>
      <c r="Z219" s="48"/>
    </row>
    <row r="220" spans="2:26" x14ac:dyDescent="0.25">
      <c r="B220" s="48"/>
      <c r="C220" s="48"/>
      <c r="D220" s="48"/>
      <c r="E220" s="48"/>
      <c r="F220" s="48"/>
      <c r="G220" s="48"/>
      <c r="H220" s="48"/>
      <c r="I220" s="48"/>
      <c r="J220" s="48"/>
      <c r="K220" s="48"/>
      <c r="L220" s="48"/>
      <c r="M220" s="48"/>
      <c r="N220" s="48"/>
      <c r="O220" s="48"/>
      <c r="P220" s="48"/>
      <c r="Q220" s="48"/>
      <c r="R220" s="48"/>
      <c r="S220" s="48"/>
      <c r="T220" s="48"/>
      <c r="U220" s="48"/>
      <c r="V220" s="48"/>
      <c r="W220" s="48"/>
      <c r="X220" s="48"/>
      <c r="Y220" s="48"/>
      <c r="Z220" s="48"/>
    </row>
    <row r="221" spans="2:26" x14ac:dyDescent="0.25">
      <c r="B221" s="48"/>
      <c r="C221" s="48"/>
      <c r="D221" s="48"/>
      <c r="E221" s="48"/>
      <c r="F221" s="48"/>
      <c r="G221" s="48"/>
      <c r="H221" s="48"/>
      <c r="I221" s="48"/>
      <c r="J221" s="48"/>
      <c r="K221" s="48"/>
      <c r="L221" s="48"/>
      <c r="M221" s="48"/>
      <c r="N221" s="48"/>
      <c r="O221" s="48"/>
      <c r="P221" s="48"/>
      <c r="Q221" s="48"/>
      <c r="R221" s="48"/>
      <c r="S221" s="48"/>
      <c r="T221" s="48"/>
      <c r="U221" s="48"/>
      <c r="V221" s="48"/>
      <c r="W221" s="48"/>
      <c r="X221" s="48"/>
      <c r="Y221" s="48"/>
      <c r="Z221" s="48"/>
    </row>
    <row r="222" spans="2:26" x14ac:dyDescent="0.25">
      <c r="B222" s="48"/>
      <c r="C222" s="48"/>
      <c r="D222" s="48"/>
      <c r="E222" s="48"/>
      <c r="F222" s="48"/>
      <c r="G222" s="48"/>
      <c r="H222" s="48"/>
      <c r="I222" s="48"/>
      <c r="J222" s="48"/>
      <c r="K222" s="48"/>
      <c r="L222" s="48"/>
      <c r="M222" s="48"/>
      <c r="N222" s="48"/>
      <c r="O222" s="48"/>
      <c r="P222" s="48"/>
      <c r="Q222" s="48"/>
      <c r="R222" s="48"/>
      <c r="S222" s="48"/>
      <c r="T222" s="48"/>
      <c r="U222" s="48"/>
      <c r="V222" s="48"/>
      <c r="W222" s="48"/>
      <c r="X222" s="48"/>
      <c r="Y222" s="48"/>
      <c r="Z222" s="48"/>
    </row>
    <row r="223" spans="2:26" x14ac:dyDescent="0.25">
      <c r="B223" s="48"/>
      <c r="C223" s="48"/>
      <c r="D223" s="48"/>
      <c r="E223" s="48"/>
      <c r="F223" s="48"/>
      <c r="G223" s="48"/>
      <c r="H223" s="48"/>
      <c r="I223" s="48"/>
      <c r="J223" s="48"/>
      <c r="K223" s="48"/>
      <c r="L223" s="48"/>
      <c r="M223" s="48"/>
      <c r="N223" s="48"/>
      <c r="O223" s="48"/>
      <c r="P223" s="48"/>
      <c r="Q223" s="48"/>
      <c r="R223" s="48"/>
      <c r="S223" s="48"/>
      <c r="T223" s="48"/>
      <c r="U223" s="48"/>
      <c r="V223" s="48"/>
      <c r="W223" s="48"/>
      <c r="X223" s="48"/>
      <c r="Y223" s="48"/>
      <c r="Z223" s="48"/>
    </row>
    <row r="224" spans="2:26" x14ac:dyDescent="0.25">
      <c r="B224" s="48"/>
      <c r="C224" s="48"/>
      <c r="D224" s="48"/>
      <c r="E224" s="48"/>
      <c r="F224" s="48"/>
      <c r="G224" s="48"/>
      <c r="H224" s="48"/>
      <c r="I224" s="48"/>
      <c r="J224" s="48"/>
      <c r="K224" s="48"/>
      <c r="L224" s="48"/>
      <c r="M224" s="48"/>
      <c r="N224" s="48"/>
      <c r="O224" s="48"/>
      <c r="P224" s="48"/>
      <c r="Q224" s="48"/>
      <c r="R224" s="48"/>
      <c r="S224" s="48"/>
      <c r="T224" s="48"/>
      <c r="U224" s="48"/>
      <c r="V224" s="48"/>
      <c r="W224" s="48"/>
      <c r="X224" s="48"/>
      <c r="Y224" s="48"/>
      <c r="Z224" s="48"/>
    </row>
    <row r="225" spans="2:26" x14ac:dyDescent="0.25">
      <c r="B225" s="48"/>
      <c r="C225" s="48"/>
      <c r="D225" s="48"/>
      <c r="E225" s="48"/>
      <c r="F225" s="48"/>
      <c r="G225" s="48"/>
      <c r="H225" s="48"/>
      <c r="I225" s="48"/>
      <c r="J225" s="48"/>
      <c r="K225" s="48"/>
      <c r="L225" s="48"/>
      <c r="M225" s="48"/>
      <c r="N225" s="48"/>
      <c r="O225" s="48"/>
      <c r="P225" s="48"/>
      <c r="Q225" s="48"/>
      <c r="R225" s="48"/>
      <c r="S225" s="48"/>
      <c r="T225" s="48"/>
      <c r="U225" s="48"/>
      <c r="V225" s="48"/>
      <c r="W225" s="48"/>
      <c r="X225" s="48"/>
      <c r="Y225" s="48"/>
      <c r="Z225" s="48"/>
    </row>
    <row r="226" spans="2:26" x14ac:dyDescent="0.25">
      <c r="B226" s="48"/>
      <c r="C226" s="48"/>
      <c r="D226" s="48"/>
      <c r="E226" s="48"/>
      <c r="F226" s="48"/>
      <c r="G226" s="48"/>
      <c r="H226" s="48"/>
      <c r="I226" s="48"/>
      <c r="J226" s="48"/>
      <c r="K226" s="48"/>
      <c r="L226" s="48"/>
      <c r="M226" s="48"/>
      <c r="N226" s="48"/>
      <c r="O226" s="48"/>
      <c r="P226" s="48"/>
      <c r="Q226" s="48"/>
      <c r="R226" s="48"/>
      <c r="S226" s="48"/>
      <c r="T226" s="48"/>
      <c r="U226" s="48"/>
      <c r="V226" s="48"/>
      <c r="W226" s="48"/>
      <c r="X226" s="48"/>
      <c r="Y226" s="48"/>
      <c r="Z226" s="48"/>
    </row>
    <row r="227" spans="2:26" x14ac:dyDescent="0.25">
      <c r="B227" s="48"/>
      <c r="C227" s="48"/>
      <c r="D227" s="48"/>
      <c r="E227" s="48"/>
      <c r="F227" s="48"/>
      <c r="G227" s="48"/>
      <c r="H227" s="48"/>
      <c r="I227" s="48"/>
      <c r="J227" s="48"/>
      <c r="K227" s="48"/>
      <c r="L227" s="48"/>
      <c r="M227" s="48"/>
      <c r="N227" s="48"/>
      <c r="O227" s="48"/>
      <c r="P227" s="48"/>
      <c r="Q227" s="48"/>
      <c r="R227" s="48"/>
      <c r="S227" s="48"/>
      <c r="T227" s="48"/>
      <c r="U227" s="48"/>
      <c r="V227" s="48"/>
      <c r="W227" s="48"/>
      <c r="X227" s="48"/>
      <c r="Y227" s="48"/>
      <c r="Z227" s="48"/>
    </row>
    <row r="228" spans="2:26" x14ac:dyDescent="0.25">
      <c r="B228" s="48"/>
      <c r="C228" s="48"/>
      <c r="D228" s="48"/>
      <c r="E228" s="48"/>
      <c r="F228" s="48"/>
      <c r="G228" s="48"/>
      <c r="H228" s="48"/>
      <c r="I228" s="48"/>
      <c r="J228" s="48"/>
      <c r="K228" s="48"/>
      <c r="L228" s="48"/>
      <c r="M228" s="48"/>
      <c r="N228" s="48"/>
      <c r="O228" s="48"/>
      <c r="P228" s="48"/>
      <c r="Q228" s="48"/>
      <c r="R228" s="48"/>
      <c r="S228" s="48"/>
      <c r="T228" s="48"/>
      <c r="U228" s="48"/>
      <c r="V228" s="48"/>
      <c r="W228" s="48"/>
      <c r="X228" s="48"/>
      <c r="Y228" s="48"/>
      <c r="Z228" s="48"/>
    </row>
    <row r="229" spans="2:26" x14ac:dyDescent="0.25">
      <c r="B229" s="48"/>
      <c r="C229" s="48"/>
      <c r="D229" s="48"/>
      <c r="E229" s="48"/>
      <c r="F229" s="48"/>
      <c r="G229" s="48"/>
      <c r="H229" s="48"/>
      <c r="I229" s="48"/>
      <c r="J229" s="48"/>
      <c r="K229" s="48"/>
      <c r="L229" s="48"/>
      <c r="M229" s="48"/>
      <c r="N229" s="48"/>
      <c r="O229" s="48"/>
      <c r="P229" s="48"/>
      <c r="Q229" s="48"/>
      <c r="R229" s="48"/>
      <c r="S229" s="48"/>
      <c r="T229" s="48"/>
      <c r="U229" s="48"/>
      <c r="V229" s="48"/>
      <c r="W229" s="48"/>
      <c r="X229" s="48"/>
      <c r="Y229" s="48"/>
      <c r="Z229" s="48"/>
    </row>
    <row r="230" spans="2:26" x14ac:dyDescent="0.25">
      <c r="B230" s="48"/>
      <c r="C230" s="48"/>
      <c r="D230" s="48"/>
      <c r="E230" s="48"/>
      <c r="F230" s="48"/>
      <c r="G230" s="48"/>
      <c r="H230" s="48"/>
      <c r="I230" s="48"/>
      <c r="J230" s="48"/>
      <c r="K230" s="48"/>
      <c r="L230" s="48"/>
      <c r="M230" s="48"/>
      <c r="N230" s="48"/>
      <c r="O230" s="48"/>
      <c r="P230" s="48"/>
      <c r="Q230" s="48"/>
      <c r="R230" s="48"/>
      <c r="S230" s="48"/>
      <c r="T230" s="48"/>
      <c r="U230" s="48"/>
      <c r="V230" s="48"/>
      <c r="W230" s="48"/>
      <c r="X230" s="48"/>
      <c r="Y230" s="48"/>
      <c r="Z230" s="48"/>
    </row>
    <row r="231" spans="2:26" x14ac:dyDescent="0.25">
      <c r="B231" s="48"/>
      <c r="C231" s="48"/>
      <c r="D231" s="48"/>
      <c r="E231" s="48"/>
      <c r="F231" s="48"/>
      <c r="G231" s="48"/>
      <c r="H231" s="48"/>
      <c r="I231" s="48"/>
      <c r="J231" s="48"/>
      <c r="K231" s="48"/>
      <c r="L231" s="48"/>
      <c r="M231" s="48"/>
      <c r="N231" s="48"/>
      <c r="O231" s="48"/>
      <c r="P231" s="48"/>
      <c r="Q231" s="48"/>
      <c r="R231" s="48"/>
      <c r="S231" s="48"/>
      <c r="T231" s="48"/>
      <c r="U231" s="48"/>
      <c r="V231" s="48"/>
      <c r="W231" s="48"/>
      <c r="X231" s="48"/>
      <c r="Y231" s="48"/>
      <c r="Z231" s="48"/>
    </row>
    <row r="232" spans="2:26" x14ac:dyDescent="0.25">
      <c r="B232" s="48"/>
      <c r="C232" s="48"/>
      <c r="D232" s="48"/>
      <c r="E232" s="48"/>
      <c r="F232" s="48"/>
      <c r="G232" s="48"/>
      <c r="H232" s="48"/>
      <c r="I232" s="48"/>
      <c r="J232" s="48"/>
      <c r="K232" s="48"/>
      <c r="L232" s="48"/>
      <c r="M232" s="48"/>
      <c r="N232" s="48"/>
      <c r="O232" s="48"/>
      <c r="P232" s="48"/>
      <c r="Q232" s="48"/>
      <c r="R232" s="48"/>
      <c r="S232" s="48"/>
      <c r="T232" s="48"/>
      <c r="U232" s="48"/>
      <c r="V232" s="48"/>
      <c r="W232" s="48"/>
      <c r="X232" s="48"/>
      <c r="Y232" s="48"/>
      <c r="Z232" s="48"/>
    </row>
    <row r="233" spans="2:26" x14ac:dyDescent="0.25">
      <c r="B233" s="48"/>
      <c r="C233" s="48"/>
      <c r="D233" s="48"/>
      <c r="E233" s="48"/>
      <c r="F233" s="48"/>
      <c r="G233" s="48"/>
      <c r="H233" s="48"/>
      <c r="I233" s="48"/>
      <c r="J233" s="48"/>
      <c r="K233" s="48"/>
      <c r="L233" s="48"/>
      <c r="M233" s="48"/>
      <c r="N233" s="48"/>
      <c r="O233" s="48"/>
      <c r="P233" s="48"/>
      <c r="Q233" s="48"/>
      <c r="R233" s="48"/>
      <c r="S233" s="48"/>
      <c r="T233" s="48"/>
      <c r="U233" s="48"/>
      <c r="V233" s="48"/>
      <c r="W233" s="48"/>
      <c r="X233" s="48"/>
      <c r="Y233" s="48"/>
      <c r="Z233" s="48"/>
    </row>
    <row r="234" spans="2:26" x14ac:dyDescent="0.25">
      <c r="B234" s="48"/>
      <c r="C234" s="48"/>
      <c r="D234" s="48"/>
      <c r="E234" s="48"/>
      <c r="F234" s="48"/>
      <c r="G234" s="48"/>
      <c r="H234" s="48"/>
      <c r="I234" s="48"/>
      <c r="J234" s="48"/>
      <c r="K234" s="48"/>
      <c r="L234" s="48"/>
      <c r="M234" s="48"/>
      <c r="N234" s="48"/>
      <c r="O234" s="48"/>
      <c r="P234" s="48"/>
      <c r="Q234" s="48"/>
      <c r="R234" s="48"/>
      <c r="S234" s="48"/>
      <c r="T234" s="48"/>
      <c r="U234" s="48"/>
      <c r="V234" s="48"/>
      <c r="W234" s="48"/>
      <c r="X234" s="48"/>
      <c r="Y234" s="48"/>
      <c r="Z234" s="48"/>
    </row>
    <row r="235" spans="2:26" x14ac:dyDescent="0.25">
      <c r="B235" s="48"/>
      <c r="C235" s="48"/>
      <c r="D235" s="48"/>
      <c r="E235" s="48"/>
      <c r="F235" s="48"/>
      <c r="G235" s="48"/>
      <c r="H235" s="48"/>
      <c r="I235" s="48"/>
      <c r="J235" s="48"/>
      <c r="K235" s="48"/>
      <c r="L235" s="48"/>
      <c r="M235" s="48"/>
      <c r="N235" s="48"/>
      <c r="O235" s="48"/>
      <c r="P235" s="48"/>
      <c r="Q235" s="48"/>
      <c r="R235" s="48"/>
      <c r="S235" s="48"/>
      <c r="T235" s="48"/>
      <c r="U235" s="48"/>
      <c r="V235" s="48"/>
      <c r="W235" s="48"/>
      <c r="X235" s="48"/>
      <c r="Y235" s="48"/>
      <c r="Z235" s="48"/>
    </row>
    <row r="236" spans="2:26" x14ac:dyDescent="0.25">
      <c r="B236" s="48"/>
      <c r="C236" s="48"/>
      <c r="D236" s="48"/>
      <c r="E236" s="48"/>
      <c r="F236" s="48"/>
      <c r="G236" s="48"/>
      <c r="H236" s="48"/>
      <c r="I236" s="48"/>
      <c r="J236" s="48"/>
      <c r="K236" s="48"/>
      <c r="L236" s="48"/>
      <c r="M236" s="48"/>
      <c r="N236" s="48"/>
      <c r="O236" s="48"/>
      <c r="P236" s="48"/>
      <c r="Q236" s="48"/>
      <c r="R236" s="48"/>
      <c r="S236" s="48"/>
      <c r="T236" s="48"/>
      <c r="U236" s="48"/>
      <c r="V236" s="48"/>
      <c r="W236" s="48"/>
      <c r="X236" s="48"/>
      <c r="Y236" s="48"/>
      <c r="Z236" s="48"/>
    </row>
    <row r="237" spans="2:26" x14ac:dyDescent="0.25">
      <c r="B237" s="48"/>
      <c r="C237" s="48"/>
      <c r="D237" s="48"/>
      <c r="E237" s="48"/>
      <c r="F237" s="48"/>
      <c r="G237" s="48"/>
      <c r="H237" s="48"/>
      <c r="I237" s="48"/>
      <c r="J237" s="48"/>
      <c r="K237" s="48"/>
      <c r="L237" s="48"/>
      <c r="M237" s="48"/>
      <c r="N237" s="48"/>
      <c r="O237" s="48"/>
      <c r="P237" s="48"/>
      <c r="Q237" s="48"/>
      <c r="R237" s="48"/>
      <c r="S237" s="48"/>
      <c r="T237" s="48"/>
      <c r="U237" s="48"/>
      <c r="V237" s="48"/>
      <c r="W237" s="48"/>
      <c r="X237" s="48"/>
      <c r="Y237" s="48"/>
      <c r="Z237" s="48"/>
    </row>
    <row r="238" spans="2:26" x14ac:dyDescent="0.25">
      <c r="B238" s="48"/>
      <c r="C238" s="48"/>
      <c r="D238" s="48"/>
      <c r="E238" s="48"/>
      <c r="F238" s="48"/>
      <c r="G238" s="48"/>
      <c r="H238" s="48"/>
      <c r="I238" s="48"/>
      <c r="J238" s="48"/>
      <c r="K238" s="48"/>
      <c r="L238" s="48"/>
      <c r="M238" s="48"/>
      <c r="N238" s="48"/>
      <c r="O238" s="48"/>
      <c r="P238" s="48"/>
      <c r="Q238" s="48"/>
      <c r="R238" s="48"/>
      <c r="S238" s="48"/>
      <c r="T238" s="48"/>
      <c r="U238" s="48"/>
      <c r="V238" s="48"/>
      <c r="W238" s="48"/>
      <c r="X238" s="48"/>
      <c r="Y238" s="48"/>
      <c r="Z238" s="48"/>
    </row>
    <row r="239" spans="2:26" x14ac:dyDescent="0.25">
      <c r="B239" s="48"/>
      <c r="C239" s="48"/>
      <c r="D239" s="48"/>
      <c r="E239" s="48"/>
      <c r="F239" s="48"/>
      <c r="G239" s="48"/>
      <c r="H239" s="48"/>
      <c r="I239" s="48"/>
      <c r="J239" s="48"/>
      <c r="K239" s="48"/>
      <c r="L239" s="48"/>
      <c r="M239" s="48"/>
      <c r="N239" s="48"/>
      <c r="O239" s="48"/>
      <c r="P239" s="48"/>
      <c r="Q239" s="48"/>
      <c r="R239" s="48"/>
      <c r="S239" s="48"/>
      <c r="T239" s="48"/>
      <c r="U239" s="48"/>
      <c r="V239" s="48"/>
      <c r="W239" s="48"/>
      <c r="X239" s="48"/>
      <c r="Y239" s="48"/>
      <c r="Z239" s="48"/>
    </row>
    <row r="240" spans="2:26" x14ac:dyDescent="0.25">
      <c r="B240" s="48"/>
      <c r="C240" s="48"/>
      <c r="D240" s="48"/>
      <c r="E240" s="48"/>
      <c r="F240" s="48"/>
      <c r="G240" s="48"/>
      <c r="H240" s="48"/>
      <c r="I240" s="48"/>
      <c r="J240" s="48"/>
      <c r="K240" s="48"/>
      <c r="L240" s="48"/>
      <c r="M240" s="48"/>
      <c r="N240" s="48"/>
      <c r="O240" s="48"/>
      <c r="P240" s="48"/>
      <c r="Q240" s="48"/>
      <c r="R240" s="48"/>
      <c r="S240" s="48"/>
      <c r="T240" s="48"/>
      <c r="U240" s="48"/>
      <c r="V240" s="48"/>
      <c r="W240" s="48"/>
      <c r="X240" s="48"/>
      <c r="Y240" s="48"/>
      <c r="Z240" s="48"/>
    </row>
    <row r="241" spans="2:26" x14ac:dyDescent="0.25">
      <c r="B241" s="48"/>
      <c r="C241" s="48"/>
      <c r="D241" s="48"/>
      <c r="E241" s="48"/>
      <c r="F241" s="48"/>
      <c r="G241" s="48"/>
      <c r="H241" s="48"/>
      <c r="I241" s="48"/>
      <c r="J241" s="48"/>
      <c r="K241" s="48"/>
      <c r="L241" s="48"/>
      <c r="M241" s="48"/>
      <c r="N241" s="48"/>
      <c r="O241" s="48"/>
      <c r="P241" s="48"/>
      <c r="Q241" s="48"/>
      <c r="R241" s="48"/>
      <c r="S241" s="48"/>
      <c r="T241" s="48"/>
      <c r="U241" s="48"/>
      <c r="V241" s="48"/>
      <c r="W241" s="48"/>
      <c r="X241" s="48"/>
      <c r="Y241" s="48"/>
      <c r="Z241" s="48"/>
    </row>
    <row r="242" spans="2:26" x14ac:dyDescent="0.25">
      <c r="B242" s="48"/>
      <c r="C242" s="48"/>
      <c r="D242" s="48"/>
      <c r="E242" s="48"/>
      <c r="F242" s="48"/>
      <c r="G242" s="48"/>
      <c r="H242" s="48"/>
      <c r="I242" s="48"/>
      <c r="J242" s="48"/>
      <c r="K242" s="48"/>
      <c r="L242" s="48"/>
      <c r="M242" s="48"/>
      <c r="N242" s="48"/>
      <c r="O242" s="48"/>
      <c r="P242" s="48"/>
      <c r="Q242" s="48"/>
      <c r="R242" s="48"/>
      <c r="S242" s="48"/>
      <c r="T242" s="48"/>
      <c r="U242" s="48"/>
      <c r="V242" s="48"/>
      <c r="W242" s="48"/>
      <c r="X242" s="48"/>
      <c r="Y242" s="48"/>
      <c r="Z242" s="48"/>
    </row>
    <row r="243" spans="2:26" x14ac:dyDescent="0.25">
      <c r="B243" s="48"/>
      <c r="C243" s="48"/>
      <c r="D243" s="48"/>
      <c r="E243" s="48"/>
      <c r="F243" s="48"/>
      <c r="G243" s="48"/>
      <c r="H243" s="48"/>
      <c r="I243" s="48"/>
      <c r="J243" s="48"/>
      <c r="K243" s="48"/>
      <c r="L243" s="48"/>
      <c r="M243" s="48"/>
      <c r="N243" s="48"/>
      <c r="O243" s="48"/>
      <c r="P243" s="48"/>
      <c r="Q243" s="48"/>
      <c r="R243" s="48"/>
      <c r="S243" s="48"/>
      <c r="T243" s="48"/>
      <c r="U243" s="48"/>
      <c r="V243" s="48"/>
      <c r="W243" s="48"/>
      <c r="X243" s="48"/>
      <c r="Y243" s="48"/>
      <c r="Z243" s="48"/>
    </row>
    <row r="244" spans="2:26" x14ac:dyDescent="0.25">
      <c r="B244" s="48"/>
      <c r="C244" s="48"/>
      <c r="D244" s="48"/>
      <c r="E244" s="48"/>
      <c r="F244" s="48"/>
      <c r="G244" s="48"/>
      <c r="H244" s="48"/>
      <c r="I244" s="48"/>
      <c r="J244" s="48"/>
      <c r="K244" s="48"/>
      <c r="L244" s="48"/>
      <c r="M244" s="48"/>
      <c r="N244" s="48"/>
      <c r="O244" s="48"/>
      <c r="P244" s="48"/>
      <c r="Q244" s="48"/>
      <c r="R244" s="48"/>
      <c r="S244" s="48"/>
      <c r="T244" s="48"/>
      <c r="U244" s="48"/>
      <c r="V244" s="48"/>
      <c r="W244" s="48"/>
      <c r="X244" s="48"/>
      <c r="Y244" s="48"/>
      <c r="Z244" s="48"/>
    </row>
    <row r="245" spans="2:26" x14ac:dyDescent="0.25">
      <c r="B245" s="48"/>
      <c r="C245" s="48"/>
      <c r="D245" s="48"/>
      <c r="E245" s="48"/>
      <c r="F245" s="48"/>
      <c r="G245" s="48"/>
      <c r="H245" s="48"/>
      <c r="I245" s="48"/>
      <c r="J245" s="48"/>
      <c r="K245" s="48"/>
      <c r="L245" s="48"/>
      <c r="M245" s="48"/>
      <c r="N245" s="48"/>
      <c r="O245" s="48"/>
      <c r="P245" s="48"/>
      <c r="Q245" s="48"/>
      <c r="R245" s="48"/>
      <c r="S245" s="48"/>
      <c r="T245" s="48"/>
      <c r="U245" s="48"/>
      <c r="V245" s="48"/>
      <c r="W245" s="48"/>
      <c r="X245" s="48"/>
      <c r="Y245" s="48"/>
      <c r="Z245" s="48"/>
    </row>
    <row r="246" spans="2:26" x14ac:dyDescent="0.25">
      <c r="B246" s="48"/>
      <c r="C246" s="48"/>
      <c r="D246" s="48"/>
      <c r="E246" s="48"/>
      <c r="F246" s="48"/>
      <c r="G246" s="48"/>
      <c r="H246" s="48"/>
      <c r="I246" s="48"/>
      <c r="J246" s="48"/>
      <c r="K246" s="48"/>
      <c r="L246" s="48"/>
      <c r="M246" s="48"/>
      <c r="N246" s="48"/>
      <c r="O246" s="48"/>
      <c r="P246" s="48"/>
      <c r="Q246" s="48"/>
      <c r="R246" s="48"/>
      <c r="S246" s="48"/>
      <c r="T246" s="48"/>
      <c r="U246" s="48"/>
      <c r="V246" s="48"/>
      <c r="W246" s="48"/>
      <c r="X246" s="48"/>
      <c r="Y246" s="48"/>
      <c r="Z246" s="48"/>
    </row>
    <row r="247" spans="2:26" x14ac:dyDescent="0.25">
      <c r="B247" s="48"/>
      <c r="C247" s="48"/>
      <c r="D247" s="48"/>
      <c r="E247" s="48"/>
      <c r="F247" s="48"/>
      <c r="G247" s="48"/>
      <c r="H247" s="48"/>
      <c r="I247" s="48"/>
      <c r="J247" s="48"/>
      <c r="K247" s="48"/>
      <c r="L247" s="48"/>
      <c r="M247" s="48"/>
      <c r="N247" s="48"/>
      <c r="O247" s="48"/>
      <c r="P247" s="48"/>
      <c r="Q247" s="48"/>
      <c r="R247" s="48"/>
      <c r="S247" s="48"/>
      <c r="T247" s="48"/>
      <c r="U247" s="48"/>
      <c r="V247" s="48"/>
      <c r="W247" s="48"/>
      <c r="X247" s="48"/>
      <c r="Y247" s="48"/>
      <c r="Z247" s="48"/>
    </row>
    <row r="248" spans="2:26" x14ac:dyDescent="0.25">
      <c r="B248" s="48"/>
      <c r="C248" s="48"/>
      <c r="D248" s="48"/>
      <c r="E248" s="48"/>
      <c r="F248" s="48"/>
      <c r="G248" s="48"/>
      <c r="H248" s="48"/>
      <c r="I248" s="48"/>
      <c r="J248" s="48"/>
      <c r="K248" s="48"/>
      <c r="L248" s="48"/>
      <c r="M248" s="48"/>
      <c r="N248" s="48"/>
      <c r="O248" s="48"/>
      <c r="P248" s="48"/>
      <c r="Q248" s="48"/>
      <c r="R248" s="48"/>
      <c r="S248" s="48"/>
      <c r="T248" s="48"/>
      <c r="U248" s="48"/>
      <c r="V248" s="48"/>
      <c r="W248" s="48"/>
      <c r="X248" s="48"/>
      <c r="Y248" s="48"/>
      <c r="Z248" s="48"/>
    </row>
    <row r="249" spans="2:26" x14ac:dyDescent="0.25">
      <c r="B249" s="48"/>
      <c r="C249" s="48"/>
      <c r="D249" s="48"/>
      <c r="E249" s="48"/>
      <c r="F249" s="48"/>
      <c r="G249" s="48"/>
      <c r="H249" s="48"/>
      <c r="I249" s="48"/>
      <c r="J249" s="48"/>
      <c r="K249" s="48"/>
      <c r="L249" s="48"/>
      <c r="M249" s="48"/>
      <c r="N249" s="48"/>
      <c r="O249" s="48"/>
      <c r="P249" s="48"/>
      <c r="Q249" s="48"/>
      <c r="R249" s="48"/>
      <c r="S249" s="48"/>
      <c r="T249" s="48"/>
      <c r="U249" s="48"/>
      <c r="V249" s="48"/>
      <c r="W249" s="48"/>
      <c r="X249" s="48"/>
      <c r="Y249" s="48"/>
      <c r="Z249" s="48"/>
    </row>
    <row r="250" spans="2:26" x14ac:dyDescent="0.25">
      <c r="B250" s="48"/>
      <c r="C250" s="48"/>
      <c r="D250" s="48"/>
      <c r="E250" s="48"/>
      <c r="F250" s="48"/>
      <c r="G250" s="48"/>
      <c r="H250" s="48"/>
      <c r="I250" s="48"/>
      <c r="J250" s="48"/>
      <c r="K250" s="48"/>
      <c r="L250" s="48"/>
      <c r="M250" s="48"/>
      <c r="N250" s="48"/>
      <c r="O250" s="48"/>
      <c r="P250" s="48"/>
      <c r="Q250" s="48"/>
      <c r="R250" s="48"/>
      <c r="S250" s="48"/>
      <c r="T250" s="48"/>
      <c r="U250" s="48"/>
      <c r="V250" s="48"/>
      <c r="W250" s="48"/>
      <c r="X250" s="48"/>
      <c r="Y250" s="48"/>
      <c r="Z250" s="48"/>
    </row>
    <row r="251" spans="2:26" x14ac:dyDescent="0.25">
      <c r="B251" s="48"/>
      <c r="C251" s="48"/>
      <c r="D251" s="48"/>
      <c r="E251" s="48"/>
      <c r="F251" s="48"/>
      <c r="G251" s="48"/>
      <c r="H251" s="48"/>
      <c r="I251" s="48"/>
      <c r="J251" s="48"/>
      <c r="K251" s="48"/>
      <c r="L251" s="48"/>
      <c r="M251" s="48"/>
      <c r="N251" s="48"/>
      <c r="O251" s="48"/>
      <c r="P251" s="48"/>
      <c r="Q251" s="48"/>
      <c r="R251" s="48"/>
      <c r="S251" s="48"/>
      <c r="T251" s="48"/>
      <c r="U251" s="48"/>
      <c r="V251" s="48"/>
      <c r="W251" s="48"/>
      <c r="X251" s="48"/>
      <c r="Y251" s="48"/>
      <c r="Z251" s="48"/>
    </row>
    <row r="252" spans="2:26" x14ac:dyDescent="0.25">
      <c r="B252" s="48"/>
      <c r="C252" s="48"/>
      <c r="D252" s="48"/>
      <c r="E252" s="48"/>
      <c r="F252" s="48"/>
      <c r="G252" s="48"/>
      <c r="H252" s="48"/>
      <c r="I252" s="48"/>
      <c r="J252" s="48"/>
      <c r="K252" s="48"/>
      <c r="L252" s="48"/>
      <c r="M252" s="48"/>
      <c r="N252" s="48"/>
      <c r="O252" s="48"/>
      <c r="P252" s="48"/>
      <c r="Q252" s="48"/>
      <c r="R252" s="48"/>
      <c r="S252" s="48"/>
      <c r="T252" s="48"/>
      <c r="U252" s="48"/>
      <c r="V252" s="48"/>
      <c r="W252" s="48"/>
      <c r="X252" s="48"/>
      <c r="Y252" s="48"/>
      <c r="Z252" s="48"/>
    </row>
    <row r="253" spans="2:26" x14ac:dyDescent="0.25">
      <c r="B253" s="48"/>
      <c r="C253" s="48"/>
      <c r="D253" s="48"/>
      <c r="E253" s="48"/>
      <c r="F253" s="48"/>
      <c r="G253" s="48"/>
      <c r="H253" s="48"/>
      <c r="I253" s="48"/>
      <c r="J253" s="48"/>
      <c r="K253" s="48"/>
      <c r="L253" s="48"/>
      <c r="M253" s="48"/>
      <c r="N253" s="48"/>
      <c r="O253" s="48"/>
      <c r="P253" s="48"/>
      <c r="Q253" s="48"/>
      <c r="R253" s="48"/>
      <c r="S253" s="48"/>
      <c r="T253" s="48"/>
      <c r="U253" s="48"/>
      <c r="V253" s="48"/>
      <c r="W253" s="48"/>
      <c r="X253" s="48"/>
      <c r="Y253" s="48"/>
      <c r="Z253" s="48"/>
    </row>
    <row r="254" spans="2:26" x14ac:dyDescent="0.25">
      <c r="B254" s="48"/>
      <c r="C254" s="48"/>
      <c r="D254" s="48"/>
      <c r="E254" s="48"/>
      <c r="F254" s="48"/>
      <c r="G254" s="48"/>
      <c r="H254" s="48"/>
      <c r="I254" s="48"/>
      <c r="J254" s="48"/>
      <c r="K254" s="48"/>
      <c r="L254" s="48"/>
      <c r="M254" s="48"/>
      <c r="N254" s="48"/>
      <c r="O254" s="48"/>
      <c r="P254" s="48"/>
      <c r="Q254" s="48"/>
      <c r="R254" s="48"/>
      <c r="S254" s="48"/>
      <c r="T254" s="48"/>
      <c r="U254" s="48"/>
      <c r="V254" s="48"/>
      <c r="W254" s="48"/>
      <c r="X254" s="48"/>
      <c r="Y254" s="48"/>
      <c r="Z254" s="48"/>
    </row>
    <row r="255" spans="2:26" x14ac:dyDescent="0.25">
      <c r="B255" s="48"/>
      <c r="C255" s="48"/>
      <c r="D255" s="48"/>
      <c r="E255" s="48"/>
      <c r="F255" s="48"/>
      <c r="G255" s="48"/>
      <c r="H255" s="48"/>
      <c r="I255" s="48"/>
      <c r="J255" s="48"/>
      <c r="K255" s="48"/>
      <c r="L255" s="48"/>
      <c r="M255" s="48"/>
      <c r="N255" s="48"/>
      <c r="O255" s="48"/>
      <c r="P255" s="48"/>
      <c r="Q255" s="48"/>
      <c r="R255" s="48"/>
      <c r="S255" s="48"/>
      <c r="T255" s="48"/>
      <c r="U255" s="48"/>
      <c r="V255" s="48"/>
      <c r="W255" s="48"/>
      <c r="X255" s="48"/>
      <c r="Y255" s="48"/>
      <c r="Z255" s="48"/>
    </row>
    <row r="256" spans="2:26" x14ac:dyDescent="0.25">
      <c r="B256" s="48"/>
      <c r="C256" s="48"/>
      <c r="D256" s="48"/>
      <c r="E256" s="48"/>
      <c r="F256" s="48"/>
      <c r="G256" s="48"/>
      <c r="H256" s="48"/>
      <c r="I256" s="48"/>
      <c r="J256" s="48"/>
      <c r="K256" s="48"/>
      <c r="L256" s="48"/>
      <c r="M256" s="48"/>
      <c r="N256" s="48"/>
      <c r="O256" s="48"/>
      <c r="P256" s="48"/>
      <c r="Q256" s="48"/>
      <c r="R256" s="48"/>
      <c r="S256" s="48"/>
      <c r="T256" s="48"/>
      <c r="U256" s="48"/>
      <c r="V256" s="48"/>
      <c r="W256" s="48"/>
      <c r="X256" s="48"/>
      <c r="Y256" s="48"/>
      <c r="Z256" s="48"/>
    </row>
    <row r="257" spans="2:26" x14ac:dyDescent="0.25">
      <c r="B257" s="48"/>
      <c r="C257" s="48"/>
      <c r="D257" s="48"/>
      <c r="E257" s="48"/>
      <c r="F257" s="48"/>
      <c r="G257" s="48"/>
      <c r="H257" s="48"/>
      <c r="I257" s="48"/>
      <c r="J257" s="48"/>
      <c r="K257" s="48"/>
      <c r="L257" s="48"/>
      <c r="M257" s="48"/>
      <c r="N257" s="48"/>
      <c r="O257" s="48"/>
      <c r="P257" s="48"/>
      <c r="Q257" s="48"/>
      <c r="R257" s="48"/>
      <c r="S257" s="48"/>
      <c r="T257" s="48"/>
      <c r="U257" s="48"/>
      <c r="V257" s="48"/>
      <c r="W257" s="48"/>
      <c r="X257" s="48"/>
      <c r="Y257" s="48"/>
      <c r="Z257" s="48"/>
    </row>
    <row r="258" spans="2:26" x14ac:dyDescent="0.25">
      <c r="B258" s="48"/>
      <c r="C258" s="48"/>
      <c r="D258" s="48"/>
      <c r="E258" s="48"/>
      <c r="F258" s="48"/>
      <c r="G258" s="48"/>
      <c r="H258" s="48"/>
      <c r="I258" s="48"/>
      <c r="J258" s="48"/>
      <c r="K258" s="48"/>
      <c r="L258" s="48"/>
      <c r="M258" s="48"/>
      <c r="N258" s="48"/>
      <c r="O258" s="48"/>
      <c r="P258" s="48"/>
      <c r="Q258" s="48"/>
      <c r="R258" s="48"/>
      <c r="S258" s="48"/>
      <c r="T258" s="48"/>
      <c r="U258" s="48"/>
      <c r="V258" s="48"/>
      <c r="W258" s="48"/>
      <c r="X258" s="48"/>
      <c r="Y258" s="48"/>
      <c r="Z258" s="48"/>
    </row>
  </sheetData>
  <mergeCells count="30">
    <mergeCell ref="B192:R192"/>
    <mergeCell ref="B193:R193"/>
    <mergeCell ref="B194:R194"/>
    <mergeCell ref="B195:R195"/>
    <mergeCell ref="B196:R196"/>
    <mergeCell ref="B187:R187"/>
    <mergeCell ref="B188:R188"/>
    <mergeCell ref="B189:R189"/>
    <mergeCell ref="B190:R190"/>
    <mergeCell ref="B191:R191"/>
    <mergeCell ref="B182:R182"/>
    <mergeCell ref="B183:R183"/>
    <mergeCell ref="B184:R184"/>
    <mergeCell ref="B185:R185"/>
    <mergeCell ref="B186:R186"/>
    <mergeCell ref="B177:R177"/>
    <mergeCell ref="B178:R178"/>
    <mergeCell ref="B179:R179"/>
    <mergeCell ref="B180:R180"/>
    <mergeCell ref="B181:R181"/>
    <mergeCell ref="B172:R172"/>
    <mergeCell ref="B173:R173"/>
    <mergeCell ref="B174:R174"/>
    <mergeCell ref="B175:R175"/>
    <mergeCell ref="B176:R176"/>
    <mergeCell ref="C67:F67"/>
    <mergeCell ref="I67:L67"/>
    <mergeCell ref="B169:R169"/>
    <mergeCell ref="B170:R170"/>
    <mergeCell ref="B171:R17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72D0469C-69AB-4C92-9EE5-8EB7C710F4FB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F69:F85</xm:sqref>
        </x14:conditionalFormatting>
        <x14:conditionalFormatting xmlns:xm="http://schemas.microsoft.com/office/excel/2006/main">
          <x14:cfRule type="iconSet" priority="2" id="{3C28F43D-B34A-4371-9723-80C957160594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L69</xm:sqref>
        </x14:conditionalFormatting>
        <x14:conditionalFormatting xmlns:xm="http://schemas.microsoft.com/office/excel/2006/main">
          <x14:cfRule type="iconSet" priority="1" id="{0DE98586-DE65-485A-B3BF-D8F3FFC15A10}">
            <x14:iconSet iconSet="3Arrows" custom="1">
              <x14:cfvo type="percent">
                <xm:f>0</xm:f>
              </x14:cfvo>
              <x14:cfvo type="num" gte="0">
                <xm:f>0</xm:f>
              </x14:cfvo>
              <x14:cfvo type="num">
                <xm:f>0</xm:f>
              </x14:cfvo>
              <x14:cfIcon iconSet="3Arrows" iconId="0"/>
              <x14:cfIcon iconSet="NoIcons" iconId="0"/>
              <x14:cfIcon iconSet="3Arrows" iconId="2"/>
            </x14:iconSet>
          </x14:cfRule>
          <xm:sqref>L70:L75</xm:sqref>
        </x14:conditionalFormatting>
      </x14:conditionalFormattings>
    </ext>
    <ext xmlns:x14="http://schemas.microsoft.com/office/spreadsheetml/2009/9/main" uri="{A8765BA9-456A-4dab-B4F3-ACF838C121DE}">
      <x14:slicerList>
        <x14:slicer r:id="rId4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969AB56-85C1-4F2C-8EAE-72A4C9BA545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1</vt:i4>
      </vt:variant>
    </vt:vector>
  </HeadingPairs>
  <TitlesOfParts>
    <vt:vector size="8" baseType="lpstr">
      <vt:lpstr>COTAÇÃO ATUAL</vt:lpstr>
      <vt:lpstr>COMPRAS</vt:lpstr>
      <vt:lpstr>CONSOLIDADO</vt:lpstr>
      <vt:lpstr>PROVENTOS B3</vt:lpstr>
      <vt:lpstr>TAB DIN CONSOLIDADO</vt:lpstr>
      <vt:lpstr>TAB DIN PROVENTOS B3</vt:lpstr>
      <vt:lpstr>DASHOARD</vt:lpstr>
      <vt:lpstr>CONSOLIDADO!Area_de_impressao</vt:lpstr>
    </vt:vector>
  </TitlesOfParts>
  <Company>BMFBovespa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BMFBovespa</dc:creator>
  <cp:lastModifiedBy>clara</cp:lastModifiedBy>
  <cp:lastPrinted>2020-06-30T19:17:40Z</cp:lastPrinted>
  <dcterms:created xsi:type="dcterms:W3CDTF">2011-08-09T17:29:55Z</dcterms:created>
  <dcterms:modified xsi:type="dcterms:W3CDTF">2022-10-02T02:43:15Z</dcterms:modified>
</cp:coreProperties>
</file>